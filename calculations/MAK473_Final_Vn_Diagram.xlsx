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ee350930104f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446cd2e488499e"/>
    <x:sheet xmlns:r="http://schemas.openxmlformats.org/officeDocument/2006/relationships" name="Inputs" sheetId="2" r:id="Ra3a326bb853e487a"/>
    <x:sheet xmlns:r="http://schemas.openxmlformats.org/officeDocument/2006/relationships" name="MTOW_20k" sheetId="3" r:id="R3faed9cef03746b6"/>
    <x:sheet xmlns:r="http://schemas.openxmlformats.org/officeDocument/2006/relationships" name="MinOp_20k" sheetId="4" r:id="R96a92d1d957a448c"/>
    <x:sheet xmlns:r="http://schemas.openxmlformats.org/officeDocument/2006/relationships" name="Sources" sheetId="5" r:id="R75578ebd3db341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053053089f4ed8" /><Relationship Type="http://schemas.openxmlformats.org/officeDocument/2006/relationships/theme" Target="/xl/theme/theme1.xml" Id="Rb851901b89a64cf2" /><Relationship Type="http://schemas.openxmlformats.org/officeDocument/2006/relationships/sharedStrings" Target="/xl/sharedStrings.xml" Id="R05ccd965e7dd4adb" /><Relationship Type="http://schemas.openxmlformats.org/officeDocument/2006/relationships/worksheet" Target="/xl/worksheets/sheet1.xml" Id="R22446cd2e488499e" /><Relationship Type="http://schemas.openxmlformats.org/officeDocument/2006/relationships/worksheet" Target="/xl/worksheets/sheet2.xml" Id="Ra3a326bb853e487a" /><Relationship Type="http://schemas.openxmlformats.org/officeDocument/2006/relationships/worksheet" Target="/xl/worksheets/sheet3.xml" Id="R3faed9cef03746b6" /><Relationship Type="http://schemas.openxmlformats.org/officeDocument/2006/relationships/worksheet" Target="/xl/worksheets/sheet4.xml" Id="R96a92d1d957a448c" /><Relationship Type="http://schemas.openxmlformats.org/officeDocument/2006/relationships/worksheet" Target="/xl/worksheets/sheet5.xml" Id="R75578ebd3db341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6f6a2ec6a064e3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25a32a4f70c493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e66e0d8348694d5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Final Bounding V–n Envelopes at 20,000 ft</a:t>
            </a:r>
          </a:p>
        </c:rich>
      </c:tx>
    </c:title>
    <c:plotArea>
      <c:lineChart>
        <c:grouping val="standard"/>
        <c:ser>
          <c:idx val="0"/>
          <c:order val="0"/>
          <c:tx>
            <c:v>MTOW upper</c:v>
          </c:tx>
          <c:spPr>
            <a:ln xmlns:a="http://schemas.openxmlformats.org/drawingml/2006/main" w="23813">
              <a:solidFill>
                <a:srgbClr val="5B9BD5"/>
              </a:solidFill>
              <a:prstDash val="solid"/>
            </a:ln>
          </c:spPr>
          <c:marker>
            <c:symbol val="none"/>
          </c:marker>
          <c:cat>
            <c:strRef>
              <c:f>'Summary'!$P$4:$P$180</c:f>
              <c:strCache>
                <c:ptCount val="0"/>
              </c:strCache>
            </c:strRef>
          </c:cat>
          <c:val>
            <c:numRef>
              <c:f>'Summary'!$Q$4:$Q$180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MTOW lower</c:v>
          </c:tx>
          <c:spPr>
            <a:ln xmlns:a="http://schemas.openxmlformats.org/drawingml/2006/main" w="23813">
              <a:solidFill>
                <a:srgbClr val="5B9BD5"/>
              </a:solidFill>
              <a:prstDash val="solid"/>
            </a:ln>
          </c:spPr>
          <c:marker>
            <c:symbol val="none"/>
          </c:marker>
          <c:cat>
            <c:strRef>
              <c:f>'Summary'!$P$4:$P$180</c:f>
              <c:strCache>
                <c:ptCount val="0"/>
              </c:strCache>
            </c:strRef>
          </c:cat>
          <c:val>
            <c:numRef>
              <c:f>'Summary'!$R$4:$R$180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Min-op upper</c:v>
          </c:tx>
          <c:spPr>
            <a:ln xmlns:a="http://schemas.openxmlformats.org/drawingml/2006/main" w="23813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strRef>
              <c:f>'Summary'!$P$4:$P$180</c:f>
              <c:strCache>
                <c:ptCount val="0"/>
              </c:strCache>
            </c:strRef>
          </c:cat>
          <c:val>
            <c:numRef>
              <c:f>'Summary'!$S$4:$S$180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Min-op lower</c:v>
          </c:tx>
          <c:spPr>
            <a:ln xmlns:a="http://schemas.openxmlformats.org/drawingml/2006/main" w="23813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strRef>
              <c:f>'Summary'!$P$4:$P$180</c:f>
              <c:strCache>
                <c:ptCount val="0"/>
              </c:strCache>
            </c:strRef>
          </c:cat>
          <c:val>
            <c:numRef>
              <c:f>'Summary'!$T$4:$T$180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Equivalent airspeed, V [KEAS]</a:t>
                </a:r>
              </a:p>
            </c:rich>
          </c:tx>
        </c:title>
        <c:numFmt formatCode="General"/>
        <c:majorTickMark val="none"/>
        <c:minorTickMark val="none"/>
        <c:tickLblPos val="nextTo"/>
        <c:tickLblSkip val="20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Load factor, n [g]</a:t>
                </a:r>
              </a:p>
            </c:rich>
          </c:tx>
        </c:title>
        <c:numFmt formatCode="General"/>
        <c:majorTickMark val="none"/>
        <c:minorTickMark val="none"/>
        <c:crossAx val="48650112"/>
        <c:crossBetween val="between"/>
        <c:majorUnit val="1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MTOW = 1464.54 kg: Combined Maneuver–Gust V–n Envelope at 20,000 ft</a:t>
            </a:r>
          </a:p>
        </c:rich>
      </c:tx>
    </c:title>
    <c:plotArea>
      <c:lineChart>
        <c:grouping val="standard"/>
        <c:ser>
          <c:idx val="0"/>
          <c:order val="0"/>
          <c:tx>
            <c:v>Combined upper</c:v>
          </c:tx>
          <c:spPr>
            <a:ln xmlns:a="http://schemas.openxmlformats.org/drawingml/2006/main" w="28575">
              <a:solidFill>
                <a:srgbClr val="1F4E78"/>
              </a:solidFill>
              <a:prstDash val="solid"/>
            </a:ln>
          </c:spPr>
          <c:marker>
            <c:symbol val="none"/>
          </c:marker>
          <c:cat>
            <c:strRef>
              <c:f>'MTOW_20k'!$P$4:$P$180</c:f>
              <c:strCache>
                <c:ptCount val="0"/>
              </c:strCache>
            </c:strRef>
          </c:cat>
          <c:val>
            <c:numRef>
              <c:f>'MTOW_20k'!$Q$4:$Q$180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Combined lower</c:v>
          </c:tx>
          <c:spPr>
            <a:ln xmlns:a="http://schemas.openxmlformats.org/drawingml/2006/main" w="28575">
              <a:solidFill>
                <a:srgbClr val="1F4E78"/>
              </a:solidFill>
              <a:prstDash val="solid"/>
            </a:ln>
          </c:spPr>
          <c:marker>
            <c:symbol val="none"/>
          </c:marker>
          <c:cat>
            <c:strRef>
              <c:f>'MTOW_20k'!$P$4:$P$180</c:f>
              <c:strCache>
                <c:ptCount val="0"/>
              </c:strCache>
            </c:strRef>
          </c:cat>
          <c:val>
            <c:numRef>
              <c:f>'MTOW_20k'!$R$4:$R$180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Maneuver upper</c:v>
          </c:tx>
          <c:spPr>
            <a:ln xmlns:a="http://schemas.openxmlformats.org/drawingml/2006/main" w="14288">
              <a:solidFill>
                <a:srgbClr val="70AD47"/>
              </a:solidFill>
              <a:prstDash val="dash"/>
            </a:ln>
          </c:spPr>
          <c:marker>
            <c:symbol val="none"/>
          </c:marker>
          <c:cat>
            <c:strRef>
              <c:f>'MTOW_20k'!$P$4:$P$180</c:f>
              <c:strCache>
                <c:ptCount val="0"/>
              </c:strCache>
            </c:strRef>
          </c:cat>
          <c:val>
            <c:numRef>
              <c:f>'MTOW_20k'!$S$4:$S$180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Maneuver lower</c:v>
          </c:tx>
          <c:spPr>
            <a:ln xmlns:a="http://schemas.openxmlformats.org/drawingml/2006/main" w="14288">
              <a:solidFill>
                <a:srgbClr val="70AD47"/>
              </a:solidFill>
              <a:prstDash val="dash"/>
            </a:ln>
          </c:spPr>
          <c:marker>
            <c:symbol val="none"/>
          </c:marker>
          <c:cat>
            <c:strRef>
              <c:f>'MTOW_20k'!$P$4:$P$180</c:f>
              <c:strCache>
                <c:ptCount val="0"/>
              </c:strCache>
            </c:strRef>
          </c:cat>
          <c:val>
            <c:numRef>
              <c:f>'MTOW_20k'!$T$4:$T$180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Raw gust upper</c:v>
          </c:tx>
          <c:spPr>
            <a:ln xmlns:a="http://schemas.openxmlformats.org/drawingml/2006/main" w="14288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strRef>
              <c:f>'MTOW_20k'!$P$4:$P$180</c:f>
              <c:strCache>
                <c:ptCount val="0"/>
              </c:strCache>
            </c:strRef>
          </c:cat>
          <c:val>
            <c:numRef>
              <c:f>'MTOW_20k'!$U$4:$U$180</c:f>
              <c:numCache>
                <c:formatCode>0.000</c:formatCode>
                <c:ptCount val="0"/>
              </c:numCache>
            </c:numRef>
          </c:val>
        </c:ser>
        <c:ser>
          <c:idx val="5"/>
          <c:order val="5"/>
          <c:tx>
            <c:v>Raw gust lower</c:v>
          </c:tx>
          <c:spPr>
            <a:ln xmlns:a="http://schemas.openxmlformats.org/drawingml/2006/main" w="14288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strRef>
              <c:f>'MTOW_20k'!$P$4:$P$180</c:f>
              <c:strCache>
                <c:ptCount val="0"/>
              </c:strCache>
            </c:strRef>
          </c:cat>
          <c:val>
            <c:numRef>
              <c:f>'MTOW_20k'!$V$4:$V$180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Equivalent airspeed, V [KEAS]</a:t>
                </a:r>
              </a:p>
            </c:rich>
          </c:tx>
        </c:title>
        <c:numFmt formatCode="General"/>
        <c:majorTickMark val="none"/>
        <c:minorTickMark val="none"/>
        <c:tickLblPos val="nextTo"/>
        <c:tickLblSkip val="20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Load factor, n [g]</a:t>
                </a:r>
              </a:p>
            </c:rich>
          </c:tx>
        </c:title>
        <c:numFmt formatCode="General"/>
        <c:majorTickMark val="none"/>
        <c:minorTickMark val="none"/>
        <c:crossAx val="48650112"/>
        <c:crossBetween val="between"/>
        <c:majorUnit val="1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Minimum operational mass = 1167.55 kg: Combined Maneuver–Gust V–n Envelope at 20,000 ft</a:t>
            </a:r>
          </a:p>
        </c:rich>
      </c:tx>
    </c:title>
    <c:plotArea>
      <c:lineChart>
        <c:grouping val="standard"/>
        <c:ser>
          <c:idx val="0"/>
          <c:order val="0"/>
          <c:tx>
            <c:v>Combined upper</c:v>
          </c:tx>
          <c:spPr>
            <a:ln xmlns:a="http://schemas.openxmlformats.org/drawingml/2006/main" w="28575">
              <a:solidFill>
                <a:srgbClr val="1F4E78"/>
              </a:solidFill>
              <a:prstDash val="solid"/>
            </a:ln>
          </c:spPr>
          <c:marker>
            <c:symbol val="none"/>
          </c:marker>
          <c:cat>
            <c:strRef>
              <c:f>'MinOp_20k'!$P$4:$P$180</c:f>
              <c:strCache>
                <c:ptCount val="0"/>
              </c:strCache>
            </c:strRef>
          </c:cat>
          <c:val>
            <c:numRef>
              <c:f>'MinOp_20k'!$Q$4:$Q$180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Combined lower</c:v>
          </c:tx>
          <c:spPr>
            <a:ln xmlns:a="http://schemas.openxmlformats.org/drawingml/2006/main" w="28575">
              <a:solidFill>
                <a:srgbClr val="1F4E78"/>
              </a:solidFill>
              <a:prstDash val="solid"/>
            </a:ln>
          </c:spPr>
          <c:marker>
            <c:symbol val="none"/>
          </c:marker>
          <c:cat>
            <c:strRef>
              <c:f>'MinOp_20k'!$P$4:$P$180</c:f>
              <c:strCache>
                <c:ptCount val="0"/>
              </c:strCache>
            </c:strRef>
          </c:cat>
          <c:val>
            <c:numRef>
              <c:f>'MinOp_20k'!$R$4:$R$180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Maneuver upper</c:v>
          </c:tx>
          <c:spPr>
            <a:ln xmlns:a="http://schemas.openxmlformats.org/drawingml/2006/main" w="14288">
              <a:solidFill>
                <a:srgbClr val="70AD47"/>
              </a:solidFill>
              <a:prstDash val="dash"/>
            </a:ln>
          </c:spPr>
          <c:marker>
            <c:symbol val="none"/>
          </c:marker>
          <c:cat>
            <c:strRef>
              <c:f>'MinOp_20k'!$P$4:$P$180</c:f>
              <c:strCache>
                <c:ptCount val="0"/>
              </c:strCache>
            </c:strRef>
          </c:cat>
          <c:val>
            <c:numRef>
              <c:f>'MinOp_20k'!$S$4:$S$180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Maneuver lower</c:v>
          </c:tx>
          <c:spPr>
            <a:ln xmlns:a="http://schemas.openxmlformats.org/drawingml/2006/main" w="14288">
              <a:solidFill>
                <a:srgbClr val="70AD47"/>
              </a:solidFill>
              <a:prstDash val="dash"/>
            </a:ln>
          </c:spPr>
          <c:marker>
            <c:symbol val="none"/>
          </c:marker>
          <c:cat>
            <c:strRef>
              <c:f>'MinOp_20k'!$P$4:$P$180</c:f>
              <c:strCache>
                <c:ptCount val="0"/>
              </c:strCache>
            </c:strRef>
          </c:cat>
          <c:val>
            <c:numRef>
              <c:f>'MinOp_20k'!$T$4:$T$180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Raw gust upper</c:v>
          </c:tx>
          <c:spPr>
            <a:ln xmlns:a="http://schemas.openxmlformats.org/drawingml/2006/main" w="14288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strRef>
              <c:f>'MinOp_20k'!$P$4:$P$180</c:f>
              <c:strCache>
                <c:ptCount val="0"/>
              </c:strCache>
            </c:strRef>
          </c:cat>
          <c:val>
            <c:numRef>
              <c:f>'MinOp_20k'!$U$4:$U$180</c:f>
              <c:numCache>
                <c:formatCode>0.000</c:formatCode>
                <c:ptCount val="0"/>
              </c:numCache>
            </c:numRef>
          </c:val>
        </c:ser>
        <c:ser>
          <c:idx val="5"/>
          <c:order val="5"/>
          <c:tx>
            <c:v>Raw gust lower</c:v>
          </c:tx>
          <c:spPr>
            <a:ln xmlns:a="http://schemas.openxmlformats.org/drawingml/2006/main" w="14288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strRef>
              <c:f>'MinOp_20k'!$P$4:$P$180</c:f>
              <c:strCache>
                <c:ptCount val="0"/>
              </c:strCache>
            </c:strRef>
          </c:cat>
          <c:val>
            <c:numRef>
              <c:f>'MinOp_20k'!$V$4:$V$180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Equivalent airspeed, V [KEAS]</a:t>
                </a:r>
              </a:p>
            </c:rich>
          </c:tx>
        </c:title>
        <c:numFmt formatCode="General"/>
        <c:majorTickMark val="none"/>
        <c:minorTickMark val="none"/>
        <c:tickLblPos val="nextTo"/>
        <c:tickLblSkip val="20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Load factor, n [g]</a:t>
                </a:r>
              </a:p>
            </c:rich>
          </c:tx>
        </c:title>
        <c:numFmt formatCode="General"/>
        <c:majorTickMark val="none"/>
        <c:minorTickMark val="none"/>
        <c:crossAx val="48650112"/>
        <c:crossBetween val="between"/>
        <c:majorUnit val="1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f6a2ec6a064e3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12</xdr:col>
      <xdr:colOff>0</xdr:colOff>
      <xdr:row>14</xdr:row>
      <xdr:rowOff>0</xdr:rowOff>
    </xdr:from>
    <xdr:to>
      <xdr:col>22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5a32a4f70c493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12</xdr:col>
      <xdr:colOff>0</xdr:colOff>
      <xdr:row>14</xdr:row>
      <xdr:rowOff>0</xdr:rowOff>
    </xdr:from>
    <xdr:to>
      <xdr:col>22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6e0d8348694d5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bdeb87a90b74a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74886e9ec82446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6f3c247073424be8" /></Relationships>
</file>

<file path=xl/worksheets/sheet1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20" hidden="0" customWidth="1"/>
    <x:col min="3" max="3" width="20" hidden="0" customWidth="1"/>
    <x:col min="4" max="4" width="60" hidden="0" customWidth="1"/>
  </x:cols>
  <x:sheetData>
    <x:row r="1">
      <x:c r="A1" s="5" t="str">
        <x:v>Final V–n Diagram Summary — MAK473 UAV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14" t="str">
        <x:v>Key Result</x:v>
      </x:c>
      <x:c r="B3" s="14" t="str">
        <x:v>MTOW case</x:v>
      </x:c>
      <x:c r="C3" s="14" t="str">
        <x:v>Min operational case</x:v>
      </x:c>
      <x:c r="D3" s="14" t="str">
        <x:v>Interpretation</x:v>
      </x:c>
      <x:c r="P3" s="14" t="str">
        <x:v>V [KEAS]</x:v>
      </x:c>
      <x:c r="Q3" s="14" t="str">
        <x:v>MTOW upper</x:v>
      </x:c>
      <x:c r="R3" s="14" t="str">
        <x:v>MTOW lower</x:v>
      </x:c>
      <x:c r="S3" s="14" t="str">
        <x:v>Min-op upper</x:v>
      </x:c>
      <x:c r="T3" s="14" t="str">
        <x:v>Min-op lower</x:v>
      </x:c>
    </x:row>
    <x:row r="4">
      <x:c r="A4" t="str">
        <x:v>Mass [kg]</x:v>
      </x:c>
      <x:c r="B4" s="26" t="n">
        <x:v>1464.54</x:v>
      </x:c>
      <x:c r="C4" s="26" t="n">
        <x:v>1167.55</x:v>
      </x:c>
      <x:c r="D4" t="str">
        <x:v>Min operational = OEW + payload + trapped fuel</x:v>
      </x:c>
      <x:c r="P4" s="26" t="n">
        <x:v>0</x:v>
      </x:c>
      <x:c r="Q4" s="26" t="n">
        <x:v>0</x:v>
      </x:c>
      <x:c r="R4" s="26" t="n">
        <x:v>0</x:v>
      </x:c>
      <x:c r="S4" s="26" t="n">
        <x:v>0</x:v>
      </x:c>
      <x:c r="T4" s="26" t="n">
        <x:v>0</x:v>
      </x:c>
    </x:row>
    <x:row r="5">
      <x:c r="A5" t="str">
        <x:v>Positive limit maneuver factor</x:v>
      </x:c>
      <x:c r="B5" s="26" t="n">
        <x:v>3.8</x:v>
      </x:c>
      <x:c r="C5" s="26" t="n">
        <x:v>3.8</x:v>
      </x:c>
      <x:c r="D5" t="str">
        <x:v>AEP-4671 / USAR.337</x:v>
      </x:c>
      <x:c r="P5" s="26" t="n">
        <x:v>0.5</x:v>
      </x:c>
      <x:c r="Q5" s="26" t="n">
        <x:v>0.00011133995942372796</x:v>
      </x:c>
      <x:c r="R5" s="26" t="n">
        <x:v>-0.00010011535428188027</x:v>
      </x:c>
      <x:c r="S5" s="26" t="n">
        <x:v>0.00013966153413080942</x:v>
      </x:c>
      <x:c r="T5" s="26" t="n">
        <x:v>-0.00012558172323239684</x:v>
      </x:c>
    </x:row>
    <x:row r="6">
      <x:c r="A6" t="str">
        <x:v>Negative limit maneuver factor</x:v>
      </x:c>
      <x:c r="B6" s="26" t="n">
        <x:v>-1.52</x:v>
      </x:c>
      <x:c r="C6" s="26" t="n">
        <x:v>-1.52</x:v>
      </x:c>
      <x:c r="D6" t="str">
        <x:v>AEP-4671 / USAR.337</x:v>
      </x:c>
      <x:c r="P6" s="26" t="n">
        <x:v>1</x:v>
      </x:c>
      <x:c r="Q6" s="26" t="n">
        <x:v>0.00044535983769491185</x:v>
      </x:c>
      <x:c r="R6" s="26" t="n">
        <x:v>-0.00040046141712752107</x:v>
      </x:c>
      <x:c r="S6" s="26" t="n">
        <x:v>0.0005586461365232377</x:v>
      </x:c>
      <x:c r="T6" s="26" t="n">
        <x:v>-0.0005023268929295874</x:v>
      </x:c>
    </x:row>
    <x:row r="7">
      <x:c r="A7" t="str">
        <x:v>VC [KEAS]</x:v>
      </x:c>
      <x:c r="B7" s="26" t="n">
        <x:v>69.88565097458304</x:v>
      </x:c>
      <x:c r="C7" s="26" t="n">
        <x:v>69.88565097458304</x:v>
      </x:c>
      <x:c r="D7" t="str">
        <x:v>70 KCAS converted at 20,000 ft</x:v>
      </x:c>
      <x:c r="P7" s="26" t="n">
        <x:v>1.5</x:v>
      </x:c>
      <x:c r="Q7" s="26" t="n">
        <x:v>0.0010020596348135518</x:v>
      </x:c>
      <x:c r="R7" s="26" t="n">
        <x:v>-0.0009010381885369226</x:v>
      </x:c>
      <x:c r="S7" s="26" t="n">
        <x:v>0.0012569538071772848</x:v>
      </x:c>
      <x:c r="T7" s="26" t="n">
        <x:v>-0.001130235509091572</x:v>
      </x:c>
    </x:row>
    <x:row r="8">
      <x:c r="A8" t="str">
        <x:v>VD [KEAS]</x:v>
      </x:c>
      <x:c r="B8" s="26" t="n">
        <x:v>87.27762745041773</x:v>
      </x:c>
      <x:c r="C8" s="26" t="n">
        <x:v>87.27762745041773</x:v>
      </x:c>
      <x:c r="D8" t="str">
        <x:v>1.25 VC</x:v>
      </x:c>
      <x:c r="P8" s="26" t="n">
        <x:v>2</x:v>
      </x:c>
      <x:c r="Q8" s="26" t="n">
        <x:v>0.0017814393507796474</x:v>
      </x:c>
      <x:c r="R8" s="26" t="n">
        <x:v>-0.0016018456685100843</x:v>
      </x:c>
      <x:c r="S8" s="26" t="n">
        <x:v>0.0022345845460929508</x:v>
      </x:c>
      <x:c r="T8" s="26" t="n">
        <x:v>-0.0020093075717183494</x:v>
      </x:c>
    </x:row>
    <x:row r="9">
      <x:c r="A9" t="str">
        <x:v>Critical positive combined n</x:v>
      </x:c>
      <x:c r="B9" s="26" t="n">
        <x:v>3.3924769797269523</x:v>
      </x:c>
      <x:c r="C9" s="26" t="n">
        <x:v>3.8</x:v>
      </x:c>
      <x:c r="D9" t="str">
        <x:v>Positive design bound</x:v>
      </x:c>
      <x:c r="P9" s="26" t="n">
        <x:v>2.5</x:v>
      </x:c>
      <x:c r="Q9" s="26" t="n">
        <x:v>0.0027834989855931988</x:v>
      </x:c>
      <x:c r="R9" s="26" t="n">
        <x:v>-0.002502883857047007</x:v>
      </x:c>
      <x:c r="S9" s="26" t="n">
        <x:v>0.0034915383532702357</x:v>
      </x:c>
      <x:c r="T9" s="26" t="n">
        <x:v>-0.0031395430808099215</x:v>
      </x:c>
    </x:row>
    <x:row r="10">
      <x:c r="A10" t="str">
        <x:v>Speed at critical positive [KEAS]</x:v>
      </x:c>
      <x:c r="B10" s="26" t="n">
        <x:v>87.277627</x:v>
      </x:c>
      <x:c r="C10" s="26" t="n">
        <x:v>82.5</x:v>
      </x:c>
      <x:c r="D10" t="str"/>
      <x:c r="P10" s="26" t="n">
        <x:v>3</x:v>
      </x:c>
      <x:c r="Q10" s="26" t="n">
        <x:v>0.004008238539254207</x:v>
      </x:c>
      <x:c r="R10" s="26" t="n">
        <x:v>-0.0036041527541476903</x:v>
      </x:c>
      <x:c r="S10" s="26" t="n">
        <x:v>0.005027815228709139</x:v>
      </x:c>
      <x:c r="T10" s="26" t="n">
        <x:v>-0.004520942036366288</x:v>
      </x:c>
    </x:row>
    <x:row r="11">
      <x:c r="A11" t="str">
        <x:v>Critical negative combined n</x:v>
      </x:c>
      <x:c r="B11" s="26" t="n">
        <x:v>-1.849843478933666</x:v>
      </x:c>
      <x:c r="C11" s="26" t="n">
        <x:v>-2.4074110166938514</x:v>
      </x:c>
      <x:c r="D11" t="str">
        <x:v>Negative gust governs low-weight case</x:v>
      </x:c>
      <x:c r="P11" s="26" t="n">
        <x:v>3.5</x:v>
      </x:c>
      <x:c r="Q11" s="26" t="n">
        <x:v>0.005455658011762669</x:v>
      </x:c>
      <x:c r="R11" s="26" t="n">
        <x:v>-0.004905652359812134</x:v>
      </x:c>
      <x:c r="S11" s="26" t="n">
        <x:v>0.006843415172409663</x:v>
      </x:c>
      <x:c r="T11" s="26" t="n">
        <x:v>-0.006153504438387446</x:v>
      </x:c>
    </x:row>
    <x:row r="12">
      <x:c r="A12" t="str">
        <x:v>Speed at critical negative [KEAS]</x:v>
      </x:c>
      <x:c r="B12" s="26" t="n">
        <x:v>69.885651</x:v>
      </x:c>
      <x:c r="C12" s="26" t="n">
        <x:v>69.885651</x:v>
      </x:c>
      <x:c r="D12" t="str"/>
      <x:c r="P12" s="26" t="n">
        <x:v>4</x:v>
      </x:c>
      <x:c r="Q12" s="26" t="n">
        <x:v>0.00712575740311859</x:v>
      </x:c>
      <x:c r="R12" s="26" t="n">
        <x:v>-0.006407382674040337</x:v>
      </x:c>
      <x:c r="S12" s="26" t="n">
        <x:v>0.008938338184371803</x:v>
      </x:c>
      <x:c r="T12" s="26" t="n">
        <x:v>-0.008037230286873398</x:v>
      </x:c>
    </x:row>
    <x:row r="13">
      <x:c r="A13" t="str">
        <x:v>Positive ultimate factor</x:v>
      </x:c>
      <x:c r="B13" s="26" t="n">
        <x:v>5.088715469590428</x:v>
      </x:c>
      <x:c r="C13" s="26" t="n">
        <x:v>5.699999999999999</x:v>
      </x:c>
      <x:c r="D13" t="str">
        <x:v>1.5 × limit envelope</x:v>
      </x:c>
      <x:c r="P13" s="26" t="n">
        <x:v>4.5</x:v>
      </x:c>
      <x:c r="Q13" s="26" t="n">
        <x:v>0.009018536713321966</x:v>
      </x:c>
      <x:c r="R13" s="26" t="n">
        <x:v>-0.008109343696832302</x:v>
      </x:c>
      <x:c r="S13" s="26" t="n">
        <x:v>0.011312584264595565</x:v>
      </x:c>
      <x:c r="T13" s="26" t="n">
        <x:v>-0.010172119581824143</x:v>
      </x:c>
    </x:row>
    <x:row r="14">
      <x:c r="A14" t="str">
        <x:v>Negative ultimate factor</x:v>
      </x:c>
      <x:c r="B14" s="26" t="n">
        <x:v>-2.774765218400499</x:v>
      </x:c>
      <x:c r="C14" s="26" t="n">
        <x:v>-3.611116525040777</x:v>
      </x:c>
      <x:c r="D14" t="str">
        <x:v>1.5 × limit envelope</x:v>
      </x:c>
      <x:c r="P14" s="26" t="n">
        <x:v>5</x:v>
      </x:c>
      <x:c r="Q14" s="26" t="n">
        <x:v>0.011133995942372795</x:v>
      </x:c>
      <x:c r="R14" s="26" t="n">
        <x:v>-0.010011535428188029</x:v>
      </x:c>
      <x:c r="S14" s="26" t="n">
        <x:v>0.013966153413080943</x:v>
      </x:c>
      <x:c r="T14" s="26" t="n">
        <x:v>-0.012558172323239686</x:v>
      </x:c>
    </x:row>
    <x:row r="15">
      <x:c r="P15" s="26" t="n">
        <x:v>5.5</x:v>
      </x:c>
      <x:c r="Q15" s="26" t="n">
        <x:v>0.013472135090271084</x:v>
      </x:c>
      <x:c r="R15" s="26" t="n">
        <x:v>-0.012113957868107515</x:v>
      </x:c>
      <x:c r="S15" s="26" t="n">
        <x:v>0.016899045629827945</x:v>
      </x:c>
      <x:c r="T15" s="26" t="n">
        <x:v>-0.015195388511120018</x:v>
      </x:c>
    </x:row>
    <x:row r="16">
      <x:c r="A16" s="23" t="str">
        <x:v>Recommended report interpretation</x:v>
      </x:c>
      <x:c r="B16" s="23"/>
      <x:c r="C16" s="23"/>
      <x:c r="D16" s="23"/>
      <x:c r="P16" s="26" t="n">
        <x:v>6</x:v>
      </x:c>
      <x:c r="Q16" s="26" t="n">
        <x:v>0.01603295415701683</x:v>
      </x:c>
      <x:c r="R16" s="26" t="n">
        <x:v>-0.014416611016590761</x:v>
      </x:c>
      <x:c r="S16" s="26" t="n">
        <x:v>0.020111260914836556</x:v>
      </x:c>
      <x:c r="T16" s="26" t="n">
        <x:v>-0.01808376814546515</x:v>
      </x:c>
    </x:row>
    <x:row r="17" ht="30" customHeight="1">
      <x:c r="A17" s="20" t="str">
        <x:v>Use the MTOW plot as the nominal design envelope and the 1167.55 kg plot as the end-of-mission gust check.</x:v>
      </x:c>
      <x:c r="B17" s="20"/>
      <x:c r="C17" s="20"/>
      <x:c r="D17" s="20"/>
      <x:c r="P17" s="26" t="n">
        <x:v>6.5</x:v>
      </x:c>
      <x:c r="Q17" s="26" t="n">
        <x:v>0.01881645314261003</x:v>
      </x:c>
      <x:c r="R17" s="26" t="n">
        <x:v>-0.01691949487363777</x:v>
      </x:c>
      <x:c r="S17" s="26" t="n">
        <x:v>0.023602799268106794</x:v>
      </x:c>
      <x:c r="T17" s="26" t="n">
        <x:v>-0.021223311226275066</x:v>
      </x:c>
    </x:row>
    <x:row r="18" ht="30" customHeight="1">
      <x:c r="A18" s="20" t="str">
        <x:v>The minimum-operational case retains the 14.85 kg trapped fuel; therefore 1167.55 kg is used instead of a fuel-free OEW point.</x:v>
      </x:c>
      <x:c r="B18" s="20"/>
      <x:c r="C18" s="20"/>
      <x:c r="D18" s="20"/>
      <x:c r="P18" s="26" t="n">
        <x:v>7</x:v>
      </x:c>
      <x:c r="Q18" s="26" t="n">
        <x:v>0.021822632047050677</x:v>
      </x:c>
      <x:c r="R18" s="26" t="n">
        <x:v>-0.019622609439248536</x:v>
      </x:c>
      <x:c r="S18" s="26" t="n">
        <x:v>0.027373660689638653</x:v>
      </x:c>
      <x:c r="T18" s="26" t="n">
        <x:v>-0.024614017753549784</x:v>
      </x:c>
    </x:row>
    <x:row r="19" ht="30" customHeight="1">
      <x:c r="A19" s="20" t="str">
        <x:v>The critical positive limit remains +3.80 g (maneuver). The critical negative limit becomes approximately -2.41 g at VC due to the 20,000-ft gust.</x:v>
      </x:c>
      <x:c r="B19" s="20"/>
      <x:c r="C19" s="20"/>
      <x:c r="D19" s="20"/>
      <x:c r="P19" s="26" t="n">
        <x:v>7.5</x:v>
      </x:c>
      <x:c r="Q19" s="26" t="n">
        <x:v>0.02505149087033879</x:v>
      </x:c>
      <x:c r="R19" s="26" t="n">
        <x:v>-0.022525954713423064</x:v>
      </x:c>
      <x:c r="S19" s="26" t="n">
        <x:v>0.03142384517943213</x:v>
      </x:c>
      <x:c r="T19" s="26" t="n">
        <x:v>-0.028255887727289285</x:v>
      </x:c>
    </x:row>
    <x:row r="20" ht="30" customHeight="1">
      <x:c r="A20" s="20" t="str">
        <x:v>The negative stall boundary is provisional because Flow5 did not converge to the 3D negative-stall turnover; the XFLR5 2D limit is used conservatively.</x:v>
      </x:c>
      <x:c r="B20" s="20"/>
      <x:c r="C20" s="20"/>
      <x:c r="D20" s="20"/>
      <x:c r="P20" s="26" t="n">
        <x:v>8</x:v>
      </x:c>
      <x:c r="Q20" s="26" t="n">
        <x:v>0.02850302961247436</x:v>
      </x:c>
      <x:c r="R20" s="26" t="n">
        <x:v>-0.02562953069616135</x:v>
      </x:c>
      <x:c r="S20" s="26" t="n">
        <x:v>0.03575335273748721</x:v>
      </x:c>
      <x:c r="T20" s="26" t="n">
        <x:v>-0.03214892114749359</x:v>
      </x:c>
    </x:row>
    <x:row r="21" ht="30" customHeight="1">
      <x:c r="A21" s="20" t="str">
        <x:v>For structural ultimate-load interpretation, multiply limit envelope values by 1.5: +5.70 g and approximately -3.61 g.</x:v>
      </x:c>
      <x:c r="B21" s="20"/>
      <x:c r="C21" s="20"/>
      <x:c r="D21" s="20"/>
      <x:c r="P21" s="26" t="n">
        <x:v>8.5</x:v>
      </x:c>
      <x:c r="Q21" s="26" t="n">
        <x:v>0.03217724827345738</x:v>
      </x:c>
      <x:c r="R21" s="26" t="n">
        <x:v>-0.0289333373874634</x:v>
      </x:c>
      <x:c r="S21" s="26" t="n">
        <x:v>0.04036218336380393</x:v>
      </x:c>
      <x:c r="T21" s="26" t="n">
        <x:v>-0.03629311801416269</x:v>
      </x:c>
    </x:row>
    <x:row r="22">
      <x:c r="P22" s="26" t="n">
        <x:v>9</x:v>
      </x:c>
      <x:c r="Q22" s="26" t="n">
        <x:v>0.036074146853287865</x:v>
      </x:c>
      <x:c r="R22" s="26" t="n">
        <x:v>-0.03243737478732921</x:v>
      </x:c>
      <x:c r="S22" s="26" t="n">
        <x:v>0.04525033705838226</x:v>
      </x:c>
      <x:c r="T22" s="26" t="n">
        <x:v>-0.04068847832729657</x:v>
      </x:c>
    </x:row>
    <x:row r="23">
      <x:c r="A23" s="23" t="str">
        <x:v>Primary regulatory / research basis</x:v>
      </x:c>
      <x:c r="B23" s="23"/>
      <x:c r="C23" s="23"/>
      <x:c r="D23" s="23"/>
      <x:c r="P23" s="26" t="n">
        <x:v>9.5</x:v>
      </x:c>
      <x:c r="Q23" s="26" t="n">
        <x:v>0.040193725351965796</x:v>
      </x:c>
      <x:c r="R23" s="26" t="n">
        <x:v>-0.03614164289575878</x:v>
      </x:c>
      <x:c r="S23" s="26" t="n">
        <x:v>0.050417813821222214</x:v>
      </x:c>
      <x:c r="T23" s="26" t="n">
        <x:v>-0.04533500208689526</x:v>
      </x:c>
    </x:row>
    <x:row r="24">
      <x:c r="A24" s="20" t="str">
        <x:v>AEP-4671 official record</x:v>
      </x:c>
      <x:c r="B24" s="20" t="str"/>
      <x:c r="C24" s="20" t="str"/>
      <x:c r="D24" s="20" t="str">
        <x:v>https://quicksearch.dla.mil/qsDocDetails.aspx?ident_number=283379</x:v>
      </x:c>
      <x:c r="P24" s="26" t="n">
        <x:v>10</x:v>
      </x:c>
      <x:c r="Q24" s="26" t="n">
        <x:v>0.04453598376949118</x:v>
      </x:c>
      <x:c r="R24" s="26" t="n">
        <x:v>-0.040046141712752115</x:v>
      </x:c>
      <x:c r="S24" s="26" t="n">
        <x:v>0.05586461365232377</x:v>
      </x:c>
      <x:c r="T24" s="26" t="n">
        <x:v>-0.050232689292958745</x:v>
      </x:c>
    </x:row>
    <x:row r="25">
      <x:c r="A25" s="20" t="str">
        <x:v>Peer-reviewed RPA gust-envelope paper</x:v>
      </x:c>
      <x:c r="B25" s="20" t="str"/>
      <x:c r="C25" s="20" t="str"/>
      <x:c r="D25" s="20" t="str">
        <x:v>https://doi.org/10.3390/aerospace13050428</x:v>
      </x:c>
      <x:c r="P25" s="26" t="n">
        <x:v>10.5</x:v>
      </x:c>
      <x:c r="Q25" s="26" t="n">
        <x:v>0.04910092210586403</x:v>
      </x:c>
      <x:c r="R25" s="26" t="n">
        <x:v>-0.0441508712383092</x:v>
      </x:c>
      <x:c r="S25" s="26" t="n">
        <x:v>0.06159073655168696</x:v>
      </x:c>
      <x:c r="T25" s="26" t="n">
        <x:v>-0.05538153994548701</x:v>
      </x:c>
    </x:row>
    <x:row r="26">
      <x:c r="A26" s="20" t="str">
        <x:v>Pratt NACA gust-load research</x:v>
      </x:c>
      <x:c r="B26" s="20" t="str"/>
      <x:c r="C26" s="20" t="str"/>
      <x:c r="D26" s="20" t="str">
        <x:v>https://ntrs.nasa.gov/citations/19930084025</x:v>
      </x:c>
      <x:c r="P26" s="26" t="n">
        <x:v>11</x:v>
      </x:c>
      <x:c r="Q26" s="26" t="n">
        <x:v>0.053888540361084335</x:v>
      </x:c>
      <x:c r="R26" s="26" t="n">
        <x:v>-0.04845583147243006</x:v>
      </x:c>
      <x:c r="S26" s="26" t="n">
        <x:v>0.06759618251931178</x:v>
      </x:c>
      <x:c r="T26" s="26" t="n">
        <x:v>-0.060781554044480074</x:v>
      </x:c>
    </x:row>
    <x:row r="27">
      <x:c r="P27" s="26" t="n">
        <x:v>11.5</x:v>
      </x:c>
      <x:c r="Q27" s="26" t="n">
        <x:v>0.05889883853515209</x:v>
      </x:c>
      <x:c r="R27" s="26" t="n">
        <x:v>-0.05296102241511467</x:v>
      </x:c>
      <x:c r="S27" s="26" t="n">
        <x:v>0.0738809515551982</x:v>
      </x:c>
      <x:c r="T27" s="26" t="n">
        <x:v>-0.06643273158993794</x:v>
      </x:c>
    </x:row>
    <x:row r="28">
      <x:c r="P28" s="26" t="n">
        <x:v>12</x:v>
      </x:c>
      <x:c r="Q28" s="26" t="n">
        <x:v>0.06413181662806731</x:v>
      </x:c>
      <x:c r="R28" s="26" t="n">
        <x:v>-0.057666444066363044</x:v>
      </x:c>
      <x:c r="S28" s="26" t="n">
        <x:v>0.08044504365934622</x:v>
      </x:c>
      <x:c r="T28" s="26" t="n">
        <x:v>-0.0723350725818606</x:v>
      </x:c>
    </x:row>
    <x:row r="29">
      <x:c r="P29" s="26" t="n">
        <x:v>12.5</x:v>
      </x:c>
      <x:c r="Q29" s="26" t="n">
        <x:v>0.06958747463982998</x:v>
      </x:c>
      <x:c r="R29" s="26" t="n">
        <x:v>-0.06257209642617517</x:v>
      </x:c>
      <x:c r="S29" s="26" t="n">
        <x:v>0.08728845883175591</x:v>
      </x:c>
      <x:c r="T29" s="26" t="n">
        <x:v>-0.07848857702024802</x:v>
      </x:c>
    </x:row>
    <x:row r="30">
      <x:c r="P30" s="26" t="n">
        <x:v>13</x:v>
      </x:c>
      <x:c r="Q30" s="26" t="n">
        <x:v>0.07526581257044011</x:v>
      </x:c>
      <x:c r="R30" s="26" t="n">
        <x:v>-0.06767797949455108</x:v>
      </x:c>
      <x:c r="S30" s="26" t="n">
        <x:v>0.09441119707242718</x:v>
      </x:c>
      <x:c r="T30" s="26" t="n">
        <x:v>-0.08489324490510027</x:v>
      </x:c>
    </x:row>
    <x:row r="31">
      <x:c r="P31" s="26" t="n">
        <x:v>13.5</x:v>
      </x:c>
      <x:c r="Q31" s="26" t="n">
        <x:v>0.0811668304198977</x:v>
      </x:c>
      <x:c r="R31" s="26" t="n">
        <x:v>-0.07298409327149073</x:v>
      </x:c>
      <x:c r="S31" s="26" t="n">
        <x:v>0.10181325838136006</x:v>
      </x:c>
      <x:c r="T31" s="26" t="n">
        <x:v>-0.0915490762364173</x:v>
      </x:c>
    </x:row>
    <x:row r="32">
      <x:c r="P32" s="26" t="n">
        <x:v>14</x:v>
      </x:c>
      <x:c r="Q32" s="26" t="n">
        <x:v>0.08729052818820271</x:v>
      </x:c>
      <x:c r="R32" s="26" t="n">
        <x:v>-0.07849043775699414</x:v>
      </x:c>
      <x:c r="S32" s="26" t="n">
        <x:v>0.10949464275855461</x:v>
      </x:c>
      <x:c r="T32" s="26" t="n">
        <x:v>-0.09845607101419913</x:v>
      </x:c>
    </x:row>
    <x:row r="33">
      <x:c r="P33" s="26" t="n">
        <x:v>14.5</x:v>
      </x:c>
      <x:c r="Q33" s="26" t="n">
        <x:v>0.0936369058753552</x:v>
      </x:c>
      <x:c r="R33" s="26" t="n">
        <x:v>-0.0841970129510613</x:v>
      </x:c>
      <x:c r="S33" s="26" t="n">
        <x:v>0.11745535020401073</x:v>
      </x:c>
      <x:c r="T33" s="26" t="n">
        <x:v>-0.10561422923844575</x:v>
      </x:c>
    </x:row>
    <x:row r="34">
      <x:c r="P34" s="26" t="n">
        <x:v>15</x:v>
      </x:c>
      <x:c r="Q34" s="26" t="n">
        <x:v>0.10020596348135516</x:v>
      </x:c>
      <x:c r="R34" s="26" t="n">
        <x:v>-0.09010381885369226</x:v>
      </x:c>
      <x:c r="S34" s="26" t="n">
        <x:v>0.1256953807177285</x:v>
      </x:c>
      <x:c r="T34" s="26" t="n">
        <x:v>-0.11302355090915714</x:v>
      </x:c>
    </x:row>
    <x:row r="35">
      <x:c r="P35" s="26" t="n">
        <x:v>15.5</x:v>
      </x:c>
      <x:c r="Q35" s="26" t="n">
        <x:v>0.10699770100620257</x:v>
      </x:c>
      <x:c r="R35" s="26" t="n">
        <x:v>-0.09621085546488695</x:v>
      </x:c>
      <x:c r="S35" s="26" t="n">
        <x:v>0.13421473429970787</x:v>
      </x:c>
      <x:c r="T35" s="26" t="n">
        <x:v>-0.12068403602633336</x:v>
      </x:c>
    </x:row>
    <x:row r="36">
      <x:c r="P36" s="26" t="n">
        <x:v>16</x:v>
      </x:c>
      <x:c r="Q36" s="26" t="n">
        <x:v>0.11401211844989743</x:v>
      </x:c>
      <x:c r="R36" s="26" t="n">
        <x:v>-0.1025181227846454</x:v>
      </x:c>
      <x:c r="S36" s="26" t="n">
        <x:v>0.14301341094994885</x:v>
      </x:c>
      <x:c r="T36" s="26" t="n">
        <x:v>-0.12859568458997436</x:v>
      </x:c>
    </x:row>
    <x:row r="37">
      <x:c r="P37" s="26" t="n">
        <x:v>16.5</x:v>
      </x:c>
      <x:c r="Q37" s="26" t="n">
        <x:v>0.12124921581243975</x:v>
      </x:c>
      <x:c r="R37" s="26" t="n">
        <x:v>-0.10902562081296764</x:v>
      </x:c>
      <x:c r="S37" s="26" t="n">
        <x:v>0.1520914106684515</x:v>
      </x:c>
      <x:c r="T37" s="26" t="n">
        <x:v>-0.13675849660008016</x:v>
      </x:c>
    </x:row>
    <x:row r="38">
      <x:c r="P38" s="26" t="n">
        <x:v>17</x:v>
      </x:c>
      <x:c r="Q38" s="26" t="n">
        <x:v>0.12870899309382952</x:v>
      </x:c>
      <x:c r="R38" s="26" t="n">
        <x:v>-0.1157333495498536</x:v>
      </x:c>
      <x:c r="S38" s="26" t="n">
        <x:v>0.1614487334552157</x:v>
      </x:c>
      <x:c r="T38" s="26" t="n">
        <x:v>-0.14517247205665076</x:v>
      </x:c>
    </x:row>
    <x:row r="39">
      <x:c r="P39" s="26" t="n">
        <x:v>17.5</x:v>
      </x:c>
      <x:c r="Q39" s="26" t="n">
        <x:v>0.13639145029406677</x:v>
      </x:c>
      <x:c r="R39" s="26" t="n">
        <x:v>-0.12264130899530334</x:v>
      </x:c>
      <x:c r="S39" s="26" t="n">
        <x:v>0.1710853793102416</x:v>
      </x:c>
      <x:c r="T39" s="26" t="n">
        <x:v>-0.15383761095968615</x:v>
      </x:c>
    </x:row>
    <x:row r="40">
      <x:c r="P40" s="26" t="n">
        <x:v>18</x:v>
      </x:c>
      <x:c r="Q40" s="26" t="n">
        <x:v>0.14429658741315146</x:v>
      </x:c>
      <x:c r="R40" s="26" t="n">
        <x:v>-0.12974949914931683</x:v>
      </x:c>
      <x:c r="S40" s="26" t="n">
        <x:v>0.18100134823352904</x:v>
      </x:c>
      <x:c r="T40" s="26" t="n">
        <x:v>-0.1627539133091863</x:v>
      </x:c>
    </x:row>
    <x:row r="41">
      <x:c r="P41" s="26" t="n">
        <x:v>18.5</x:v>
      </x:c>
      <x:c r="Q41" s="26" t="n">
        <x:v>0.1524244044510836</x:v>
      </x:c>
      <x:c r="R41" s="26" t="n">
        <x:v>-0.13705792001189412</x:v>
      </x:c>
      <x:c r="S41" s="26" t="n">
        <x:v>0.1911966402250781</x:v>
      </x:c>
      <x:c r="T41" s="26" t="n">
        <x:v>-0.17192137910515126</x:v>
      </x:c>
    </x:row>
    <x:row r="42">
      <x:c r="P42" s="26" t="n">
        <x:v>19</x:v>
      </x:c>
      <x:c r="Q42" s="26" t="n">
        <x:v>0.16077490140786319</x:v>
      </x:c>
      <x:c r="R42" s="26" t="n">
        <x:v>-0.14456657158303513</x:v>
      </x:c>
      <x:c r="S42" s="26" t="n">
        <x:v>0.20167125528488886</x:v>
      </x:c>
      <x:c r="T42" s="26" t="n">
        <x:v>-0.18134000834758104</x:v>
      </x:c>
    </x:row>
    <x:row r="43">
      <x:c r="P43" s="26" t="n">
        <x:v>19.5</x:v>
      </x:c>
      <x:c r="Q43" s="26" t="n">
        <x:v>0.16934807828349022</x:v>
      </x:c>
      <x:c r="R43" s="26" t="n">
        <x:v>-0.15227545386273988</x:v>
      </x:c>
      <x:c r="S43" s="26" t="n">
        <x:v>0.21242519341296115</x:v>
      </x:c>
      <x:c r="T43" s="26" t="n">
        <x:v>-0.1910098010364756</x:v>
      </x:c>
    </x:row>
    <x:row r="44">
      <x:c r="P44" s="26" t="n">
        <x:v>20</x:v>
      </x:c>
      <x:c r="Q44" s="26" t="n">
        <x:v>0.17814393507796472</x:v>
      </x:c>
      <x:c r="R44" s="26" t="n">
        <x:v>-0.16018456685100846</x:v>
      </x:c>
      <x:c r="S44" s="26" t="n">
        <x:v>0.2234584546092951</x:v>
      </x:c>
      <x:c r="T44" s="26" t="n">
        <x:v>-0.20093075717183498</x:v>
      </x:c>
    </x:row>
    <x:row r="45">
      <x:c r="P45" s="26" t="n">
        <x:v>20.5</x:v>
      </x:c>
      <x:c r="Q45" s="26" t="n">
        <x:v>0.1871624717912867</x:v>
      </x:c>
      <x:c r="R45" s="26" t="n">
        <x:v>-0.16829391054784076</x:v>
      </x:c>
      <x:c r="S45" s="26" t="n">
        <x:v>0.23477103887389067</x:v>
      </x:c>
      <x:c r="T45" s="26" t="n">
        <x:v>-0.21110287675365907</x:v>
      </x:c>
    </x:row>
    <x:row r="46">
      <x:c r="P46" s="26" t="n">
        <x:v>21</x:v>
      </x:c>
      <x:c r="Q46" s="26" t="n">
        <x:v>0.19640368842345612</x:v>
      </x:c>
      <x:c r="R46" s="26" t="n">
        <x:v>-0.1766034849532368</x:v>
      </x:c>
      <x:c r="S46" s="26" t="n">
        <x:v>0.24636294620674784</x:v>
      </x:c>
      <x:c r="T46" s="26" t="n">
        <x:v>-0.22152615978194803</x:v>
      </x:c>
    </x:row>
    <x:row r="47">
      <x:c r="P47" s="26" t="n">
        <x:v>21.5</x:v>
      </x:c>
      <x:c r="Q47" s="26" t="n">
        <x:v>0.205867584974473</x:v>
      </x:c>
      <x:c r="R47" s="26" t="n">
        <x:v>-0.18511329006719662</x:v>
      </x:c>
      <x:c r="S47" s="26" t="n">
        <x:v>0.25823417660786663</x:v>
      </x:c>
      <x:c r="T47" s="26" t="n">
        <x:v>-0.23220060625670177</x:v>
      </x:c>
    </x:row>
    <x:row r="48">
      <x:c r="P48" s="26" t="n">
        <x:v>22</x:v>
      </x:c>
      <x:c r="Q48" s="26" t="n">
        <x:v>0.21555416144433734</x:v>
      </x:c>
      <x:c r="R48" s="26" t="n">
        <x:v>-0.19382332588972023</x:v>
      </x:c>
      <x:c r="S48" s="26" t="n">
        <x:v>0.2703847300772471</x:v>
      </x:c>
      <x:c r="T48" s="26" t="n">
        <x:v>-0.2431262161779203</x:v>
      </x:c>
    </x:row>
    <x:row r="49">
      <x:c r="P49" s="26" t="n">
        <x:v>22.5</x:v>
      </x:c>
      <x:c r="Q49" s="26" t="n">
        <x:v>0.22546341783304913</x:v>
      </x:c>
      <x:c r="R49" s="26" t="n">
        <x:v>-0.20273359242080757</x:v>
      </x:c>
      <x:c r="S49" s="26" t="n">
        <x:v>0.28281460661488916</x:v>
      </x:c>
      <x:c r="T49" s="26" t="n">
        <x:v>-0.25430298954560365</x:v>
      </x:c>
    </x:row>
    <x:row r="50">
      <x:c r="P50" s="26" t="n">
        <x:v>23</x:v>
      </x:c>
      <x:c r="Q50" s="26" t="n">
        <x:v>0.23559535414060837</x:v>
      </x:c>
      <x:c r="R50" s="26" t="n">
        <x:v>-0.21184408966045867</x:v>
      </x:c>
      <x:c r="S50" s="26" t="n">
        <x:v>0.2955238062207928</x:v>
      </x:c>
      <x:c r="T50" s="26" t="n">
        <x:v>-0.26573092635975176</x:v>
      </x:c>
    </x:row>
    <x:row r="51">
      <x:c r="P51" s="26" t="n">
        <x:v>23.5</x:v>
      </x:c>
      <x:c r="Q51" s="26" t="n">
        <x:v>0.24594997036701507</x:v>
      </x:c>
      <x:c r="R51" s="26" t="n">
        <x:v>-0.22115481760867356</x:v>
      </x:c>
      <x:c r="S51" s="26" t="n">
        <x:v>0.30851232889495805</x:v>
      </x:c>
      <x:c r="T51" s="26" t="n">
        <x:v>-0.2774100266203647</x:v>
      </x:c>
    </x:row>
    <x:row r="52">
      <x:c r="P52" s="26" t="n">
        <x:v>24</x:v>
      </x:c>
      <x:c r="Q52" s="26" t="n">
        <x:v>0.25652726651226926</x:v>
      </x:c>
      <x:c r="R52" s="26" t="n">
        <x:v>-0.23066577626545218</x:v>
      </x:c>
      <x:c r="S52" s="26" t="n">
        <x:v>0.3217801746373849</x:v>
      </x:c>
      <x:c r="T52" s="26" t="n">
        <x:v>-0.2893402903274424</x:v>
      </x:c>
    </x:row>
    <x:row r="53">
      <x:c r="P53" s="26" t="n">
        <x:v>24.5</x:v>
      </x:c>
      <x:c r="Q53" s="26" t="n">
        <x:v>0.2673272425763708</x:v>
      </x:c>
      <x:c r="R53" s="26" t="n">
        <x:v>-0.24037696563079455</x:v>
      </x:c>
      <x:c r="S53" s="26" t="n">
        <x:v>0.3353273434480734</x:v>
      </x:c>
      <x:c r="T53" s="26" t="n">
        <x:v>-0.3015217174809849</x:v>
      </x:c>
    </x:row>
    <x:row r="54">
      <x:c r="P54" s="26" t="n">
        <x:v>25</x:v>
      </x:c>
      <x:c r="Q54" s="26" t="n">
        <x:v>0.2783498985593199</x:v>
      </x:c>
      <x:c r="R54" s="26" t="n">
        <x:v>-0.2502883857047007</x:v>
      </x:c>
      <x:c r="S54" s="26" t="n">
        <x:v>0.34915383532702365</x:v>
      </x:c>
      <x:c r="T54" s="26" t="n">
        <x:v>-0.31395430808099206</x:v>
      </x:c>
    </x:row>
    <x:row r="55">
      <x:c r="P55" s="26" t="n">
        <x:v>25.5</x:v>
      </x:c>
      <x:c r="Q55" s="26" t="n">
        <x:v>0.2895952344611164</x:v>
      </x:c>
      <x:c r="R55" s="26" t="n">
        <x:v>-0.26040003648717064</x:v>
      </x:c>
      <x:c r="S55" s="26" t="n">
        <x:v>0.36325965027423535</x:v>
      </x:c>
      <x:c r="T55" s="26" t="n">
        <x:v>-0.32663806212746416</x:v>
      </x:c>
    </x:row>
    <x:row r="56">
      <x:c r="P56" s="26" t="n">
        <x:v>26</x:v>
      </x:c>
      <x:c r="Q56" s="26" t="n">
        <x:v>0.30106325028176045</x:v>
      </x:c>
      <x:c r="R56" s="26" t="n">
        <x:v>-0.2707119179782043</x:v>
      </x:c>
      <x:c r="S56" s="26" t="n">
        <x:v>0.3776447882897087</x:v>
      </x:c>
      <x:c r="T56" s="26" t="n">
        <x:v>-0.33957297962040106</x:v>
      </x:c>
    </x:row>
    <x:row r="57">
      <x:c r="P57" s="26" t="n">
        <x:v>26.5</x:v>
      </x:c>
      <x:c r="Q57" s="26" t="n">
        <x:v>0.31275394602125184</x:v>
      </x:c>
      <x:c r="R57" s="26" t="n">
        <x:v>-0.2812240301778017</x:v>
      </x:c>
      <x:c r="S57" s="26" t="n">
        <x:v>0.3923092493734437</x:v>
      </x:c>
      <x:c r="T57" s="26" t="n">
        <x:v>-0.3527590605598027</x:v>
      </x:c>
    </x:row>
    <x:row r="58">
      <x:c r="P58" s="26" t="n">
        <x:v>27</x:v>
      </x:c>
      <x:c r="Q58" s="26" t="n">
        <x:v>0.3246673216795908</x:v>
      </x:c>
      <x:c r="R58" s="26" t="n">
        <x:v>-0.29193637308596293</x:v>
      </x:c>
      <x:c r="S58" s="26" t="n">
        <x:v>0.40725303352544023</x:v>
      </x:c>
      <x:c r="T58" s="26" t="n">
        <x:v>-0.3661963049456692</x:v>
      </x:c>
    </x:row>
    <x:row r="59">
      <x:c r="P59" s="26" t="n">
        <x:v>27.5</x:v>
      </x:c>
      <x:c r="Q59" s="26" t="n">
        <x:v>0.33680337725677706</x:v>
      </x:c>
      <x:c r="R59" s="26" t="n">
        <x:v>-0.3028489467026878</x:v>
      </x:c>
      <x:c r="S59" s="26" t="n">
        <x:v>0.4224761407456986</x:v>
      </x:c>
      <x:c r="T59" s="26" t="n">
        <x:v>-0.37988471277800046</x:v>
      </x:c>
    </x:row>
    <x:row r="60">
      <x:c r="P60" s="26" t="n">
        <x:v>28</x:v>
      </x:c>
      <x:c r="Q60" s="26" t="n">
        <x:v>0.34916211275281084</x:v>
      </x:c>
      <x:c r="R60" s="26" t="n">
        <x:v>-0.3139617510279766</x:v>
      </x:c>
      <x:c r="S60" s="26" t="n">
        <x:v>0.43797857103421844</x:v>
      </x:c>
      <x:c r="T60" s="26" t="n">
        <x:v>-0.39382428405679654</x:v>
      </x:c>
    </x:row>
    <x:row r="61">
      <x:c r="P61" s="26" t="n">
        <x:v>28.5</x:v>
      </x:c>
      <x:c r="Q61" s="26" t="n">
        <x:v>0.3617435281676922</x:v>
      </x:c>
      <x:c r="R61" s="26" t="n">
        <x:v>-0.3252747860618291</x:v>
      </x:c>
      <x:c r="S61" s="26" t="n">
        <x:v>0.45376032439099984</x:v>
      </x:c>
      <x:c r="T61" s="26" t="n">
        <x:v>-0.40801501878205737</x:v>
      </x:c>
    </x:row>
    <x:row r="62">
      <x:c r="P62" s="26" t="n">
        <x:v>29</x:v>
      </x:c>
      <x:c r="Q62" s="26" t="n">
        <x:v>0.3745476235014208</x:v>
      </x:c>
      <x:c r="R62" s="26" t="n">
        <x:v>-0.3367880518042452</x:v>
      </x:c>
      <x:c r="S62" s="26" t="n">
        <x:v>0.4698214008160429</x:v>
      </x:c>
      <x:c r="T62" s="26" t="n">
        <x:v>-0.422456916953783</x:v>
      </x:c>
    </x:row>
    <x:row r="63">
      <x:c r="P63" s="26" t="n">
        <x:v>29.5</x:v>
      </x:c>
      <x:c r="Q63" s="26" t="n">
        <x:v>0.3875743987539971</x:v>
      </x:c>
      <x:c r="R63" s="26" t="n">
        <x:v>-0.3485015482552253</x:v>
      </x:c>
      <x:c r="S63" s="26" t="n">
        <x:v>0.4861618003093476</x:v>
      </x:c>
      <x:c r="T63" s="26" t="n">
        <x:v>-0.43714997857197346</x:v>
      </x:c>
    </x:row>
    <x:row r="64">
      <x:c r="P64" s="26" t="n">
        <x:v>30</x:v>
      </x:c>
      <x:c r="Q64" s="26" t="n">
        <x:v>0.40082385392542064</x:v>
      </x:c>
      <x:c r="R64" s="26" t="n">
        <x:v>-0.36041527541476903</x:v>
      </x:c>
      <x:c r="S64" s="26" t="n">
        <x:v>0.502781522870914</x:v>
      </x:c>
      <x:c r="T64" s="26" t="n">
        <x:v>-0.45209420363662856</x:v>
      </x:c>
    </x:row>
    <x:row r="65">
      <x:c r="P65" s="26" t="n">
        <x:v>30.5</x:v>
      </x:c>
      <x:c r="Q65" s="26" t="n">
        <x:v>0.41429598901569176</x:v>
      </x:c>
      <x:c r="R65" s="26" t="n">
        <x:v>-0.37252923328287646</x:v>
      </x:c>
      <x:c r="S65" s="26" t="n">
        <x:v>0.519680568500742</x:v>
      </x:c>
      <x:c r="T65" s="26" t="n">
        <x:v>-0.4672895921477486</x:v>
      </x:c>
    </x:row>
    <x:row r="66">
      <x:c r="P66" s="26" t="n">
        <x:v>31</x:v>
      </x:c>
      <x:c r="Q66" s="26" t="n">
        <x:v>0.42799080402481027</x:v>
      </x:c>
      <x:c r="R66" s="26" t="n">
        <x:v>-0.3848434218595478</x:v>
      </x:c>
      <x:c r="S66" s="26" t="n">
        <x:v>0.5368589371988315</x:v>
      </x:c>
      <x:c r="T66" s="26" t="n">
        <x:v>-0.48273614410533344</x:v>
      </x:c>
    </x:row>
    <x:row r="67">
      <x:c r="P67" s="26" t="n">
        <x:v>31.5</x:v>
      </x:c>
      <x:c r="Q67" s="26" t="n">
        <x:v>0.44190829895277633</x:v>
      </x:c>
      <x:c r="R67" s="26" t="n">
        <x:v>-0.3973578411447829</x:v>
      </x:c>
      <x:c r="S67" s="26" t="n">
        <x:v>0.5543166289651826</x:v>
      </x:c>
      <x:c r="T67" s="26" t="n">
        <x:v>-0.49843385950938307</x:v>
      </x:c>
    </x:row>
    <x:row r="68">
      <x:c r="P68" s="26" t="n">
        <x:v>32</x:v>
      </x:c>
      <x:c r="Q68" s="26" t="n">
        <x:v>0.45604847379958974</x:v>
      </x:c>
      <x:c r="R68" s="26" t="n">
        <x:v>-0.4100724911385816</x:v>
      </x:c>
      <x:c r="S68" s="26" t="n">
        <x:v>0.5720536437997954</x:v>
      </x:c>
      <x:c r="T68" s="26" t="n">
        <x:v>-0.5143827383598975</x:v>
      </x:c>
    </x:row>
    <x:row r="69">
      <x:c r="P69" s="26" t="n">
        <x:v>32.5</x:v>
      </x:c>
      <x:c r="Q69" s="26" t="n">
        <x:v>0.4704113285652507</x:v>
      </x:c>
      <x:c r="R69" s="26" t="n">
        <x:v>-0.4229873718409442</x:v>
      </x:c>
      <x:c r="S69" s="26" t="n">
        <x:v>0.59006998170267</x:v>
      </x:c>
      <x:c r="T69" s="26" t="n">
        <x:v>-0.5305827806568767</x:v>
      </x:c>
    </x:row>
    <x:row r="70">
      <x:c r="P70" s="26" t="n">
        <x:v>33</x:v>
      </x:c>
      <x:c r="Q70" s="26" t="n">
        <x:v>0.484996863249759</x:v>
      </x:c>
      <x:c r="R70" s="26" t="n">
        <x:v>-0.43610248325187057</x:v>
      </x:c>
      <x:c r="S70" s="26" t="n">
        <x:v>0.608365642673806</x:v>
      </x:c>
      <x:c r="T70" s="26" t="n">
        <x:v>-0.5470339864003206</x:v>
      </x:c>
    </x:row>
    <x:row r="71">
      <x:c r="P71" s="26" t="n">
        <x:v>33.5</x:v>
      </x:c>
      <x:c r="Q71" s="26" t="n">
        <x:v>0.49980507785311473</x:v>
      </x:c>
      <x:c r="R71" s="26" t="n">
        <x:v>-0.44941782537136055</x:v>
      </x:c>
      <x:c r="S71" s="26" t="n">
        <x:v>0.6269406267132036</x:v>
      </x:c>
      <x:c r="T71" s="26" t="n">
        <x:v>-0.5637363555902295</x:v>
      </x:c>
    </x:row>
    <x:row r="72">
      <x:c r="P72" s="26" t="n">
        <x:v>34</x:v>
      </x:c>
      <x:c r="Q72" s="26" t="n">
        <x:v>0.5148359723753181</x:v>
      </x:c>
      <x:c r="R72" s="26" t="n">
        <x:v>-0.4629333981994144</x:v>
      </x:c>
      <x:c r="S72" s="26" t="n">
        <x:v>0.6457949338208628</x:v>
      </x:c>
      <x:c r="T72" s="26" t="n">
        <x:v>-0.5806898882266031</x:v>
      </x:c>
    </x:row>
    <x:row r="73">
      <x:c r="P73" s="26" t="n">
        <x:v>34.5</x:v>
      </x:c>
      <x:c r="Q73" s="26" t="n">
        <x:v>0.5300895468163688</x:v>
      </x:c>
      <x:c r="R73" s="26" t="n">
        <x:v>-0.4766492017360319</x:v>
      </x:c>
      <x:c r="S73" s="26" t="n">
        <x:v>0.6649285639967837</x:v>
      </x:c>
      <x:c r="T73" s="26" t="n">
        <x:v>-0.5978945843094414</x:v>
      </x:c>
    </x:row>
    <x:row r="74">
      <x:c r="P74" s="26" t="n">
        <x:v>35</x:v>
      </x:c>
      <x:c r="Q74" s="26" t="n">
        <x:v>0.5455658011762671</x:v>
      </x:c>
      <x:c r="R74" s="26" t="n">
        <x:v>-0.4905652359812134</x:v>
      </x:c>
      <x:c r="S74" s="26" t="n">
        <x:v>0.6843415172409664</x:v>
      </x:c>
      <x:c r="T74" s="26" t="n">
        <x:v>-0.6153504438387446</x:v>
      </x:c>
    </x:row>
    <x:row r="75">
      <x:c r="P75" s="26" t="n">
        <x:v>35.5</x:v>
      </x:c>
      <x:c r="Q75" s="26" t="n">
        <x:v>0.5612647354550127</x:v>
      </x:c>
      <x:c r="R75" s="26" t="n">
        <x:v>-0.5046815009349586</x:v>
      </x:c>
      <x:c r="S75" s="26" t="n">
        <x:v>0.7040337935534104</x:v>
      </x:c>
      <x:c r="T75" s="26" t="n">
        <x:v>-0.6330574668145124</x:v>
      </x:c>
    </x:row>
    <x:row r="76">
      <x:c r="P76" s="26" t="n">
        <x:v>36</x:v>
      </x:c>
      <x:c r="Q76" s="26" t="n">
        <x:v>0.5771863496526058</x:v>
      </x:c>
      <x:c r="R76" s="26" t="n">
        <x:v>-0.5189979965972673</x:v>
      </x:c>
      <x:c r="S76" s="26" t="n">
        <x:v>0.7240053929341161</x:v>
      </x:c>
      <x:c r="T76" s="26" t="n">
        <x:v>-0.6510156532367452</x:v>
      </x:c>
    </x:row>
    <x:row r="77">
      <x:c r="P77" s="26" t="n">
        <x:v>36.5</x:v>
      </x:c>
      <x:c r="Q77" s="26" t="n">
        <x:v>0.5933306437690463</x:v>
      </x:c>
      <x:c r="R77" s="26" t="n">
        <x:v>-0.5335147229681401</x:v>
      </x:c>
      <x:c r="S77" s="26" t="n">
        <x:v>0.7442563153830835</x:v>
      </x:c>
      <x:c r="T77" s="26" t="n">
        <x:v>-0.6692250031054428</x:v>
      </x:c>
    </x:row>
    <x:row r="78">
      <x:c r="P78" s="26" t="n">
        <x:v>37</x:v>
      </x:c>
      <x:c r="Q78" s="26" t="n">
        <x:v>0.6096976178043344</x:v>
      </x:c>
      <x:c r="R78" s="26" t="n">
        <x:v>-0.5482316800475765</x:v>
      </x:c>
      <x:c r="S78" s="26" t="n">
        <x:v>0.7647865609003124</x:v>
      </x:c>
      <x:c r="T78" s="26" t="n">
        <x:v>-0.687685516420605</x:v>
      </x:c>
    </x:row>
    <x:row r="79">
      <x:c r="P79" s="26" t="n">
        <x:v>37.5</x:v>
      </x:c>
      <x:c r="Q79" s="26" t="n">
        <x:v>0.6262872717584698</x:v>
      </x:c>
      <x:c r="R79" s="26" t="n">
        <x:v>-0.5631488678355765</x:v>
      </x:c>
      <x:c r="S79" s="26" t="n">
        <x:v>0.785596129485803</x:v>
      </x:c>
      <x:c r="T79" s="26" t="n">
        <x:v>-0.7063971931822323</x:v>
      </x:c>
    </x:row>
    <x:row r="80">
      <x:c r="P80" s="26" t="n">
        <x:v>38</x:v>
      </x:c>
      <x:c r="Q80" s="26" t="n">
        <x:v>0.6430996056314527</x:v>
      </x:c>
      <x:c r="R80" s="26" t="n">
        <x:v>-0.5782662863321405</x:v>
      </x:c>
      <x:c r="S80" s="26" t="n">
        <x:v>0.8066850211395554</x:v>
      </x:c>
      <x:c r="T80" s="26" t="n">
        <x:v>-0.7253600333903242</x:v>
      </x:c>
    </x:row>
    <x:row r="81">
      <x:c r="P81" s="26" t="n">
        <x:v>38.5</x:v>
      </x:c>
      <x:c r="Q81" s="26" t="n">
        <x:v>0.6601346194232831</x:v>
      </x:c>
      <x:c r="R81" s="26" t="n">
        <x:v>-0.5935839355372683</x:v>
      </x:c>
      <x:c r="S81" s="26" t="n">
        <x:v>0.8280532358615692</x:v>
      </x:c>
      <x:c r="T81" s="26" t="n">
        <x:v>-0.7445740370448809</x:v>
      </x:c>
    </x:row>
    <x:row r="82">
      <x:c r="P82" s="26" t="n">
        <x:v>39</x:v>
      </x:c>
      <x:c r="Q82" s="26" t="n">
        <x:v>0.6773923131339609</x:v>
      </x:c>
      <x:c r="R82" s="26" t="n">
        <x:v>-0.6091018154509595</x:v>
      </x:c>
      <x:c r="S82" s="26" t="n">
        <x:v>0.8497007736518446</x:v>
      </x:c>
      <x:c r="T82" s="26" t="n">
        <x:v>-0.7640392041459024</x:v>
      </x:c>
    </x:row>
    <x:row r="83">
      <x:c r="P83" s="26" t="n">
        <x:v>39.5</x:v>
      </x:c>
      <x:c r="Q83" s="26" t="n">
        <x:v>0.6948726867634862</x:v>
      </x:c>
      <x:c r="R83" s="26" t="n">
        <x:v>-0.6248199260732149</x:v>
      </x:c>
      <x:c r="S83" s="26" t="n">
        <x:v>0.8716276345103816</x:v>
      </x:c>
      <x:c r="T83" s="26" t="n">
        <x:v>-0.7837555346933888</x:v>
      </x:c>
    </x:row>
    <x:row r="84">
      <x:c r="P84" s="26" t="n">
        <x:v>40</x:v>
      </x:c>
      <x:c r="Q84" s="26" t="n">
        <x:v>0.7125757403118589</x:v>
      </x:c>
      <x:c r="R84" s="26" t="n">
        <x:v>-0.6407382674040338</x:v>
      </x:c>
      <x:c r="S84" s="26" t="n">
        <x:v>0.8938338184371803</x:v>
      </x:c>
      <x:c r="T84" s="26" t="n">
        <x:v>-0.8037230286873399</x:v>
      </x:c>
    </x:row>
    <x:row r="85">
      <x:c r="P85" s="26" t="n">
        <x:v>40.5</x:v>
      </x:c>
      <x:c r="Q85" s="26" t="n">
        <x:v>0.7305014737790791</x:v>
      </x:c>
      <x:c r="R85" s="26" t="n">
        <x:v>-0.6568568394434164</x:v>
      </x:c>
      <x:c r="S85" s="26" t="n">
        <x:v>0.9163193254322408</x:v>
      </x:c>
      <x:c r="T85" s="26" t="n">
        <x:v>-0.8239416861277558</x:v>
      </x:c>
    </x:row>
    <x:row r="86">
      <x:c r="P86" s="26" t="n">
        <x:v>41</x:v>
      </x:c>
      <x:c r="Q86" s="26" t="n">
        <x:v>0.7486498871651468</x:v>
      </x:c>
      <x:c r="R86" s="26" t="n">
        <x:v>-0.673175642191363</x:v>
      </x:c>
      <x:c r="S86" s="26" t="n">
        <x:v>0.9390841554955627</x:v>
      </x:c>
      <x:c r="T86" s="26" t="n">
        <x:v>-0.8444115070146363</x:v>
      </x:c>
    </x:row>
    <x:row r="87">
      <x:c r="P87" s="26" t="n">
        <x:v>41.5</x:v>
      </x:c>
      <x:c r="Q87" s="26" t="n">
        <x:v>0.767020980470062</x:v>
      </x:c>
      <x:c r="R87" s="26" t="n">
        <x:v>-0.6896946756478733</x:v>
      </x:c>
      <x:c r="S87" s="26" t="n">
        <x:v>0.9621283086271462</x:v>
      </x:c>
      <x:c r="T87" s="26" t="n">
        <x:v>-0.8651324913479818</x:v>
      </x:c>
    </x:row>
    <x:row r="88">
      <x:c r="P88" s="26" t="n">
        <x:v>42</x:v>
      </x:c>
      <x:c r="Q88" s="26" t="n">
        <x:v>0.7856147536938245</x:v>
      </x:c>
      <x:c r="R88" s="26" t="n">
        <x:v>-0.7064139398129472</x:v>
      </x:c>
      <x:c r="S88" s="26" t="n">
        <x:v>0.9854517848269914</x:v>
      </x:c>
      <x:c r="T88" s="26" t="n">
        <x:v>-0.8861046391277921</x:v>
      </x:c>
    </x:row>
    <x:row r="89">
      <x:c r="P89" s="26" t="n">
        <x:v>42.5</x:v>
      </x:c>
      <x:c r="Q89" s="26" t="n">
        <x:v>0.8044312068364345</x:v>
      </x:c>
      <x:c r="R89" s="26" t="n">
        <x:v>-0.7233334346865851</x:v>
      </x:c>
      <x:c r="S89" s="26" t="n">
        <x:v>1.0090545840950984</x:v>
      </x:c>
      <x:c r="T89" s="26" t="n">
        <x:v>-0.9073279503540672</x:v>
      </x:c>
    </x:row>
    <x:row r="90">
      <x:c r="P90" s="26" t="n">
        <x:v>43</x:v>
      </x:c>
      <x:c r="Q90" s="26" t="n">
        <x:v>0.823470339897892</x:v>
      </x:c>
      <x:c r="R90" s="26" t="n">
        <x:v>-0.7404531602687865</x:v>
      </x:c>
      <x:c r="S90" s="26" t="n">
        <x:v>1.0329367064314665</x:v>
      </x:c>
      <x:c r="T90" s="26" t="n">
        <x:v>-0.9288024250268071</x:v>
      </x:c>
    </x:row>
    <x:row r="91">
      <x:c r="P91" s="26" t="n">
        <x:v>43.5</x:v>
      </x:c>
      <x:c r="Q91" s="26" t="n">
        <x:v>0.842732152878197</x:v>
      </x:c>
      <x:c r="R91" s="26" t="n">
        <x:v>-0.7577731165595518</x:v>
      </x:c>
      <x:c r="S91" s="26" t="n">
        <x:v>1.0570981518360967</x:v>
      </x:c>
      <x:c r="T91" s="26" t="n">
        <x:v>-0.9505280631460117</x:v>
      </x:c>
    </x:row>
    <x:row r="92">
      <x:c r="P92" s="26" t="n">
        <x:v>44</x:v>
      </x:c>
      <x:c r="Q92" s="26" t="n">
        <x:v>0.8622166457773494</x:v>
      </x:c>
      <x:c r="R92" s="26" t="n">
        <x:v>-0.7752933035588809</x:v>
      </x:c>
      <x:c r="S92" s="26" t="n">
        <x:v>1.0815389203089885</x:v>
      </x:c>
      <x:c r="T92" s="26" t="n">
        <x:v>-0.9725048647116812</x:v>
      </x:c>
    </x:row>
    <x:row r="93">
      <x:c r="P93" s="26" t="n">
        <x:v>44.5</x:v>
      </x:c>
      <x:c r="Q93" s="26" t="n">
        <x:v>0.8819238185953491</x:v>
      </x:c>
      <x:c r="R93" s="26" t="n">
        <x:v>-0.7930137212667736</x:v>
      </x:c>
      <x:c r="S93" s="26" t="n">
        <x:v>1.1062590118501414</x:v>
      </x:c>
      <x:c r="T93" s="26" t="n">
        <x:v>-0.9947328297238155</x:v>
      </x:c>
    </x:row>
    <x:row r="94">
      <x:c r="P94" s="26" t="n">
        <x:v>45</x:v>
      </x:c>
      <x:c r="Q94" s="26" t="n">
        <x:v>0.9018536713321965</x:v>
      </x:c>
      <x:c r="R94" s="26" t="n">
        <x:v>-0.8109343696832303</x:v>
      </x:c>
      <x:c r="S94" s="26" t="n">
        <x:v>1.1312584264595567</x:v>
      </x:c>
      <x:c r="T94" s="26" t="n">
        <x:v>-1.0172119581824146</x:v>
      </x:c>
    </x:row>
    <x:row r="95">
      <x:c r="P95" s="26" t="n">
        <x:v>45.5</x:v>
      </x:c>
      <x:c r="Q95" s="26" t="n">
        <x:v>0.9220062039878911</x:v>
      </x:c>
      <x:c r="R95" s="26" t="n">
        <x:v>-0.8290552488082507</x:v>
      </x:c>
      <x:c r="S95" s="26" t="n">
        <x:v>1.1565371641372328</x:v>
      </x:c>
      <x:c r="T95" s="26" t="n">
        <x:v>-1.0399422500874782</x:v>
      </x:c>
    </x:row>
    <x:row r="96">
      <x:c r="P96" s="26" t="n">
        <x:v>46</x:v>
      </x:c>
      <x:c r="Q96" s="26" t="n">
        <x:v>0.9423814165624335</x:v>
      </x:c>
      <x:c r="R96" s="26" t="n">
        <x:v>-0.8473763586418347</x:v>
      </x:c>
      <x:c r="S96" s="26" t="n">
        <x:v>1.182095224883171</x:v>
      </x:c>
      <x:c r="T96" s="26" t="n">
        <x:v>-1.062923705439007</x:v>
      </x:c>
    </x:row>
    <x:row r="97">
      <x:c r="P97" s="26" t="n">
        <x:v>46.5</x:v>
      </x:c>
      <x:c r="Q97" s="26" t="n">
        <x:v>0.9629793090558231</x:v>
      </x:c>
      <x:c r="R97" s="26" t="n">
        <x:v>-0.8658976991839825</x:v>
      </x:c>
      <x:c r="S97" s="26" t="n">
        <x:v>1.2079326086973705</x:v>
      </x:c>
      <x:c r="T97" s="26" t="n">
        <x:v>-1.0861563242370003</x:v>
      </x:c>
    </x:row>
    <x:row r="98">
      <x:c r="P98" s="26" t="n">
        <x:v>47</x:v>
      </x:c>
      <x:c r="Q98" s="26" t="n">
        <x:v>0.9837998814680603</x:v>
      </x:c>
      <x:c r="R98" s="26" t="n">
        <x:v>-0.8846192704346942</x:v>
      </x:c>
      <x:c r="S98" s="26" t="n">
        <x:v>1.2340493155798322</x:v>
      </x:c>
      <x:c r="T98" s="26" t="n">
        <x:v>-1.1096401064814587</x:v>
      </x:c>
    </x:row>
    <x:row r="99">
      <x:c r="P99" s="26" t="n">
        <x:v>47.5</x:v>
      </x:c>
      <x:c r="Q99" s="26" t="n">
        <x:v>1.0048431337991448</x:v>
      </x:c>
      <x:c r="R99" s="26" t="n">
        <x:v>-0.9035410723939695</x:v>
      </x:c>
      <x:c r="S99" s="26" t="n">
        <x:v>1.2604453455305553</x:v>
      </x:c>
      <x:c r="T99" s="26" t="n">
        <x:v>-1.1333750521723815</x:v>
      </x:c>
    </x:row>
    <x:row r="100">
      <x:c r="P100" s="26" t="n">
        <x:v>48</x:v>
      </x:c>
      <x:c r="Q100" s="26" t="n">
        <x:v>1.026109066049077</x:v>
      </x:c>
      <x:c r="R100" s="26" t="n">
        <x:v>-0.9226631050618087</x:v>
      </x:c>
      <x:c r="S100" s="26" t="n">
        <x:v>1.2871206985495396</x:v>
      </x:c>
      <x:c r="T100" s="26" t="n">
        <x:v>-1.1573611613097696</x:v>
      </x:c>
    </x:row>
    <x:row r="101">
      <x:c r="P101" s="26" t="n">
        <x:v>48.5</x:v>
      </x:c>
      <x:c r="Q101" s="26" t="n">
        <x:v>1.0475976782178567</x:v>
      </x:c>
      <x:c r="R101" s="26" t="n">
        <x:v>-0.9419853684382117</x:v>
      </x:c>
      <x:c r="S101" s="26" t="n">
        <x:v>1.3140753746367861</x:v>
      </x:c>
      <x:c r="T101" s="26" t="n">
        <x:v>-1.1815984338936218</x:v>
      </x:c>
    </x:row>
    <x:row r="102">
      <x:c r="P102" s="26" t="n">
        <x:v>49</x:v>
      </x:c>
      <x:c r="Q102" s="26" t="n">
        <x:v>1.0693089703054832</x:v>
      </x:c>
      <x:c r="R102" s="26" t="n">
        <x:v>-0.9615078625231782</x:v>
      </x:c>
      <x:c r="S102" s="26" t="n">
        <x:v>1.3413093737922936</x:v>
      </x:c>
      <x:c r="T102" s="26" t="n">
        <x:v>-1.2060868699239395</x:v>
      </x:c>
    </x:row>
    <x:row r="103">
      <x:c r="P103" s="26" t="n">
        <x:v>49.5</x:v>
      </x:c>
      <x:c r="Q103" s="26" t="n">
        <x:v>1.0912429423119578</x:v>
      </x:c>
      <x:c r="R103" s="26" t="n">
        <x:v>-0.9812305873167086</x:v>
      </x:c>
      <x:c r="S103" s="26" t="n">
        <x:v>1.3688226960160632</x:v>
      </x:c>
      <x:c r="T103" s="26" t="n">
        <x:v>-1.2308264694007216</x:v>
      </x:c>
    </x:row>
    <x:row r="104">
      <x:c r="P104" s="26" t="n">
        <x:v>50</x:v>
      </x:c>
      <x:c r="Q104" s="26" t="n">
        <x:v>1.1133995942372796</x:v>
      </x:c>
      <x:c r="R104" s="26" t="n">
        <x:v>-1.0011535428188028</x:v>
      </x:c>
      <x:c r="S104" s="26" t="n">
        <x:v>1.3966153413080946</x:v>
      </x:c>
      <x:c r="T104" s="26" t="n">
        <x:v>-1.2558172323239682</x:v>
      </x:c>
    </x:row>
    <x:row r="105">
      <x:c r="P105" s="26" t="n">
        <x:v>50.5</x:v>
      </x:c>
      <x:c r="Q105" s="26" t="n">
        <x:v>1.1357789260814488</x:v>
      </x:c>
      <x:c r="R105" s="26" t="n">
        <x:v>-1.0212767290294609</x:v>
      </x:c>
      <x:c r="S105" s="26" t="n">
        <x:v>1.424687309668387</x:v>
      </x:c>
      <x:c r="T105" s="26" t="n">
        <x:v>-1.2810591586936804</x:v>
      </x:c>
    </x:row>
    <x:row r="106">
      <x:c r="P106" s="26" t="n">
        <x:v>51</x:v>
      </x:c>
      <x:c r="Q106" s="26" t="n">
        <x:v>1.1583809378444656</x:v>
      </x:c>
      <x:c r="R106" s="26" t="n">
        <x:v>-1.0416001459486826</x:v>
      </x:c>
      <x:c r="S106" s="26" t="n">
        <x:v>1.4530386010969414</x:v>
      </x:c>
      <x:c r="T106" s="26" t="n">
        <x:v>-1.3065522485098566</x:v>
      </x:c>
    </x:row>
    <x:row r="107">
      <x:c r="P107" s="26" t="n">
        <x:v>51.5</x:v>
      </x:c>
      <x:c r="Q107" s="26" t="n">
        <x:v>1.18120562952633</x:v>
      </x:c>
      <x:c r="R107" s="26" t="n">
        <x:v>-1.0621237935764678</x:v>
      </x:c>
      <x:c r="S107" s="26" t="n">
        <x:v>1.481669215593757</x:v>
      </x:c>
      <x:c r="T107" s="26" t="n">
        <x:v>-1.3322965017724981</x:v>
      </x:c>
    </x:row>
    <x:row r="108">
      <x:c r="P108" s="26" t="n">
        <x:v>52</x:v>
      </x:c>
      <x:c r="Q108" s="26" t="n">
        <x:v>1.2042530011270418</x:v>
      </x:c>
      <x:c r="R108" s="26" t="n">
        <x:v>-1.0828476719128173</x:v>
      </x:c>
      <x:c r="S108" s="26" t="n">
        <x:v>1.5105791531588348</x:v>
      </x:c>
      <x:c r="T108" s="26" t="n">
        <x:v>-1.3582919184816042</x:v>
      </x:c>
    </x:row>
    <x:row r="109">
      <x:c r="P109" s="26" t="n">
        <x:v>52.5</x:v>
      </x:c>
      <x:c r="Q109" s="26" t="n">
        <x:v>1.2275230526466006</x:v>
      </x:c>
      <x:c r="R109" s="26" t="n">
        <x:v>-1.10377178095773</x:v>
      </x:c>
      <x:c r="S109" s="26" t="n">
        <x:v>1.5397684137921743</x:v>
      </x:c>
      <x:c r="T109" s="26" t="n">
        <x:v>-1.3845384986371754</x:v>
      </x:c>
    </x:row>
    <x:row r="110">
      <x:c r="P110" s="26" t="n">
        <x:v>53</x:v>
      </x:c>
      <x:c r="Q110" s="26" t="n">
        <x:v>1.2510157840850074</x:v>
      </x:c>
      <x:c r="R110" s="26" t="n">
        <x:v>-1.1248961207112067</x:v>
      </x:c>
      <x:c r="S110" s="26" t="n">
        <x:v>1.5692369974937748</x:v>
      </x:c>
      <x:c r="T110" s="26" t="n">
        <x:v>-1.4110362422392109</x:v>
      </x:c>
    </x:row>
    <x:row r="111">
      <x:c r="P111" s="26" t="n">
        <x:v>53.5</x:v>
      </x:c>
      <x:c r="Q111" s="26" t="n">
        <x:v>1.2747311954422615</x:v>
      </x:c>
      <x:c r="R111" s="26" t="n">
        <x:v>-1.1462206911732475</x:v>
      </x:c>
      <x:c r="S111" s="26" t="n">
        <x:v>1.5989849042636373</x:v>
      </x:c>
      <x:c r="T111" s="26" t="n">
        <x:v>-1.4377851492877116</x:v>
      </x:c>
    </x:row>
    <x:row r="112">
      <x:c r="P112" s="26" t="n">
        <x:v>54</x:v>
      </x:c>
      <x:c r="Q112" s="26" t="n">
        <x:v>1.2986692867183631</x:v>
      </x:c>
      <x:c r="R112" s="26" t="n">
        <x:v>-1.1677454923438517</x:v>
      </x:c>
      <x:c r="S112" s="26" t="n">
        <x:v>1.629012134101761</x:v>
      </x:c>
      <x:c r="T112" s="26" t="n">
        <x:v>-1.4647852197826767</x:v>
      </x:c>
    </x:row>
    <x:row r="113">
      <x:c r="P113" s="26" t="n">
        <x:v>54.5</x:v>
      </x:c>
      <x:c r="Q113" s="26" t="n">
        <x:v>1.3228300579133117</x:v>
      </x:c>
      <x:c r="R113" s="26" t="n">
        <x:v>-1.1894705242230195</x:v>
      </x:c>
      <x:c r="S113" s="26" t="n">
        <x:v>1.6593186870081469</x:v>
      </x:c>
      <x:c r="T113" s="26" t="n">
        <x:v>-1.492036453724107</x:v>
      </x:c>
    </x:row>
    <x:row r="114">
      <x:c r="P114" s="26" t="n">
        <x:v>55</x:v>
      </x:c>
      <x:c r="Q114" s="26" t="n">
        <x:v>1.3472135090271082</x:v>
      </x:c>
      <x:c r="R114" s="26" t="n">
        <x:v>-1.2113957868107512</x:v>
      </x:c>
      <x:c r="S114" s="26" t="n">
        <x:v>1.6899045629827945</x:v>
      </x:c>
      <x:c r="T114" s="26" t="n">
        <x:v>-1.5195388511120018</x:v>
      </x:c>
    </x:row>
    <x:row r="115">
      <x:c r="P115" s="26" t="n">
        <x:v>55.5</x:v>
      </x:c>
      <x:c r="Q115" s="26" t="n">
        <x:v>1.3718196400597524</x:v>
      </x:c>
      <x:c r="R115" s="26" t="n">
        <x:v>-1.233521280107047</x:v>
      </x:c>
      <x:c r="S115" s="26" t="n">
        <x:v>1.720769762025703</x:v>
      </x:c>
      <x:c r="T115" s="26" t="n">
        <x:v>-1.5472924119463614</x:v>
      </x:c>
    </x:row>
    <x:row r="116">
      <x:c r="P116" s="26" t="n">
        <x:v>56</x:v>
      </x:c>
      <x:c r="Q116" s="26" t="n">
        <x:v>1.3966484510112434</x:v>
      </x:c>
      <x:c r="R116" s="26" t="n">
        <x:v>-1.2558470041119063</x:v>
      </x:c>
      <x:c r="S116" s="26" t="n">
        <x:v>1.7519142841368738</x:v>
      </x:c>
      <x:c r="T116" s="26" t="n">
        <x:v>-1.5752971362271861</x:v>
      </x:c>
    </x:row>
    <x:row r="117">
      <x:c r="P117" s="26" t="n">
        <x:v>56.5</x:v>
      </x:c>
      <x:c r="Q117" s="26" t="n">
        <x:v>1.4216999418815823</x:v>
      </x:c>
      <x:c r="R117" s="26" t="n">
        <x:v>-1.2783729588253292</x:v>
      </x:c>
      <x:c r="S117" s="26" t="n">
        <x:v>1.7833381293163055</x:v>
      </x:c>
      <x:c r="T117" s="26" t="n">
        <x:v>-1.603553023954475</x:v>
      </x:c>
    </x:row>
    <x:row r="118">
      <x:c r="P118" s="26" t="n">
        <x:v>57</x:v>
      </x:c>
      <x:c r="Q118" s="26" t="n">
        <x:v>1.4469741126707687</x:v>
      </x:c>
      <x:c r="R118" s="26" t="n">
        <x:v>-1.3010991442473163</x:v>
      </x:c>
      <x:c r="S118" s="26" t="n">
        <x:v>1.8150412975639993</x:v>
      </x:c>
      <x:c r="T118" s="26" t="n">
        <x:v>-1.6320600751282295</x:v>
      </x:c>
    </x:row>
    <x:row r="119">
      <x:c r="P119" s="26" t="n">
        <x:v>57.5</x:v>
      </x:c>
      <x:c r="Q119" s="26" t="n">
        <x:v>1.4724709633788025</x:v>
      </x:c>
      <x:c r="R119" s="26" t="n">
        <x:v>-1.3240255603778668</x:v>
      </x:c>
      <x:c r="S119" s="26" t="n">
        <x:v>1.847023788879955</x:v>
      </x:c>
      <x:c r="T119" s="26" t="n">
        <x:v>-1.6608182897484483</x:v>
      </x:c>
    </x:row>
    <x:row r="120">
      <x:c r="P120" s="26" t="n">
        <x:v>58</x:v>
      </x:c>
      <x:c r="Q120" s="26" t="n">
        <x:v>1.4981904940056832</x:v>
      </x:c>
      <x:c r="R120" s="26" t="n">
        <x:v>-1.3471522072169808</x:v>
      </x:c>
      <x:c r="S120" s="26" t="n">
        <x:v>1.8792856032641716</x:v>
      </x:c>
      <x:c r="T120" s="26" t="n">
        <x:v>-1.689827667815132</x:v>
      </x:c>
    </x:row>
    <x:row r="121">
      <x:c r="P121" s="26" t="n">
        <x:v>58.5</x:v>
      </x:c>
      <x:c r="Q121" s="26" t="n">
        <x:v>1.524132704551412</x:v>
      </x:c>
      <x:c r="R121" s="26" t="n">
        <x:v>-1.3704790847646593</x:v>
      </x:c>
      <x:c r="S121" s="26" t="n">
        <x:v>1.9118267407166505</x:v>
      </x:c>
      <x:c r="T121" s="26" t="n">
        <x:v>-1.7190882093282804</x:v>
      </x:c>
    </x:row>
    <x:row r="122">
      <x:c r="P122" s="26" t="n">
        <x:v>59</x:v>
      </x:c>
      <x:c r="Q122" s="26" t="n">
        <x:v>1.5502975950159883</x:v>
      </x:c>
      <x:c r="R122" s="26" t="n">
        <x:v>-1.3940061930209011</x:v>
      </x:c>
      <x:c r="S122" s="26" t="n">
        <x:v>1.9446472012373903</x:v>
      </x:c>
      <x:c r="T122" s="26" t="n">
        <x:v>-1.7485999142878939</x:v>
      </x:c>
    </x:row>
    <x:row r="123">
      <x:c r="P123" s="26" t="n">
        <x:v>59.5</x:v>
      </x:c>
      <x:c r="Q123" s="26" t="n">
        <x:v>1.5766851653994118</x:v>
      </x:c>
      <x:c r="R123" s="26" t="n">
        <x:v>-1.4177335319857065</x:v>
      </x:c>
      <x:c r="S123" s="26" t="n">
        <x:v>1.9777469848263924</x:v>
      </x:c>
      <x:c r="T123" s="26" t="n">
        <x:v>-1.7783627826939716</x:v>
      </x:c>
    </x:row>
    <x:row r="124">
      <x:c r="P124" s="26" t="n">
        <x:v>60</x:v>
      </x:c>
      <x:c r="Q124" s="26" t="n">
        <x:v>1.6032954157016825</x:v>
      </x:c>
      <x:c r="R124" s="26" t="n">
        <x:v>-1.4416611016590761</x:v>
      </x:c>
      <x:c r="S124" s="26" t="n">
        <x:v>2.011126091483656</x:v>
      </x:c>
      <x:c r="T124" s="26" t="n">
        <x:v>-1.8083768145465142</x:v>
      </x:c>
    </x:row>
    <x:row r="125">
      <x:c r="P125" s="26" t="n">
        <x:v>60.5</x:v>
      </x:c>
      <x:c r="Q125" s="26" t="n">
        <x:v>1.630128345922801</x:v>
      </x:c>
      <x:c r="R125" s="26" t="n">
        <x:v>-1.4657889020410093</x:v>
      </x:c>
      <x:c r="S125" s="26" t="n">
        <x:v>2.0447845212091806</x:v>
      </x:c>
      <x:c r="T125" s="26" t="n">
        <x:v>-1.8386420098455223</x:v>
      </x:c>
    </x:row>
    <x:row r="126">
      <x:c r="P126" s="26" t="n">
        <x:v>61</x:v>
      </x:c>
      <x:c r="Q126" s="26" t="n">
        <x:v>1.657183956062767</x:v>
      </x:c>
      <x:c r="R126" s="26" t="n">
        <x:v>-1.4901169331315058</x:v>
      </x:c>
      <x:c r="S126" s="26" t="n">
        <x:v>2.078722274002968</x:v>
      </x:c>
      <x:c r="T126" s="26" t="n">
        <x:v>-1.8691583685909945</x:v>
      </x:c>
    </x:row>
    <x:row r="127">
      <x:c r="P127" s="26" t="n">
        <x:v>61.5</x:v>
      </x:c>
      <x:c r="Q127" s="26" t="n">
        <x:v>1.6844622461215801</x:v>
      </x:c>
      <x:c r="R127" s="26" t="n">
        <x:v>-1.514645194930567</x:v>
      </x:c>
      <x:c r="S127" s="26" t="n">
        <x:v>2.1129393498650155</x:v>
      </x:c>
      <x:c r="T127" s="26" t="n">
        <x:v>-1.899925890782932</x:v>
      </x:c>
    </x:row>
    <x:row r="128">
      <x:c r="P128" s="26" t="n">
        <x:v>62</x:v>
      </x:c>
      <x:c r="Q128" s="26" t="n">
        <x:v>1.711963216099241</x:v>
      </x:c>
      <x:c r="R128" s="26" t="n">
        <x:v>-1.5282771688730072</x:v>
      </x:c>
      <x:c r="S128" s="26" t="n">
        <x:v>2.147435748795326</x:v>
      </x:c>
      <x:c r="T128" s="26" t="n">
        <x:v>-1.9309445764213338</x:v>
      </x:c>
    </x:row>
    <x:row r="129">
      <x:c r="P129" s="26" t="n">
        <x:v>62.5</x:v>
      </x:c>
      <x:c r="Q129" s="26" t="n">
        <x:v>1.7396868659957494</x:v>
      </x:c>
      <x:c r="R129" s="26" t="n">
        <x:v>-1.5486665008800475</x:v>
      </x:c>
      <x:c r="S129" s="26" t="n">
        <x:v>2.1822114707938978</x:v>
      </x:c>
      <x:c r="T129" s="26" t="n">
        <x:v>-1.9622144255062008</x:v>
      </x:c>
    </x:row>
    <x:row r="130">
      <x:c r="P130" s="26" t="n">
        <x:v>63</x:v>
      </x:c>
      <x:c r="Q130" s="26" t="n">
        <x:v>1.7676331958111053</x:v>
      </x:c>
      <x:c r="R130" s="26" t="n">
        <x:v>-1.5690558328870883</x:v>
      </x:c>
      <x:c r="S130" s="26" t="n">
        <x:v>2.2172665158607305</x:v>
      </x:c>
      <x:c r="T130" s="26" t="n">
        <x:v>-1.9937354380375323</x:v>
      </x:c>
    </x:row>
    <x:row r="131">
      <x:c r="P131" s="26" t="n">
        <x:v>63.5</x:v>
      </x:c>
      <x:c r="Q131" s="26" t="n">
        <x:v>1.795802205545308</x:v>
      </x:c>
      <x:c r="R131" s="26" t="n">
        <x:v>-1.5894451648941286</x:v>
      </x:c>
      <x:c r="S131" s="26" t="n">
        <x:v>2.2526008839958256</x:v>
      </x:c>
      <x:c r="T131" s="26" t="n">
        <x:v>-2.025507614015329</x:v>
      </x:c>
    </x:row>
    <x:row r="132">
      <x:c r="P132" s="26" t="n">
        <x:v>64</x:v>
      </x:c>
      <x:c r="Q132" s="26" t="n">
        <x:v>1.824193895198359</x:v>
      </x:c>
      <x:c r="R132" s="26" t="n">
        <x:v>-1.6098344969011689</x:v>
      </x:c>
      <x:c r="S132" s="26" t="n">
        <x:v>2.2882145751991816</x:v>
      </x:c>
      <x:c r="T132" s="26" t="n">
        <x:v>-2.05753095343959</x:v>
      </x:c>
    </x:row>
    <x:row r="133">
      <x:c r="P133" s="26" t="n">
        <x:v>64.5</x:v>
      </x:c>
      <x:c r="Q133" s="26" t="n">
        <x:v>1.852808264770257</x:v>
      </x:c>
      <x:c r="R133" s="26" t="n">
        <x:v>-1.6302238289082092</x:v>
      </x:c>
      <x:c r="S133" s="26" t="n">
        <x:v>2.3241075894708</x:v>
      </x:c>
      <x:c r="T133" s="26" t="n">
        <x:v>-2.0898054563103163</x:v>
      </x:c>
    </x:row>
    <x:row r="134">
      <x:c r="P134" s="26" t="n">
        <x:v>65</x:v>
      </x:c>
      <x:c r="Q134" s="26" t="n">
        <x:v>1.8816453142610028</x:v>
      </x:c>
      <x:c r="R134" s="26" t="n">
        <x:v>-1.6506131609152495</x:v>
      </x:c>
      <x:c r="S134" s="26" t="n">
        <x:v>2.36027992681068</x:v>
      </x:c>
      <x:c r="T134" s="26" t="n">
        <x:v>-2.122331122627507</x:v>
      </x:c>
    </x:row>
    <x:row r="135">
      <x:c r="P135" s="26" t="n">
        <x:v>65.5</x:v>
      </x:c>
      <x:c r="Q135" s="26" t="n">
        <x:v>1.9107050436705955</x:v>
      </x:c>
      <x:c r="R135" s="26" t="n">
        <x:v>-1.6710024929222902</x:v>
      </x:c>
      <x:c r="S135" s="26" t="n">
        <x:v>2.3967315872188206</x:v>
      </x:c>
      <x:c r="T135" s="26" t="n">
        <x:v>-2.155107952391162</x:v>
      </x:c>
    </x:row>
    <x:row r="136">
      <x:c r="P136" s="26" t="n">
        <x:v>66</x:v>
      </x:c>
      <x:c r="Q136" s="26" t="n">
        <x:v>1.939987452999036</x:v>
      </x:c>
      <x:c r="R136" s="26" t="n">
        <x:v>-1.6913918249293305</x:v>
      </x:c>
      <x:c r="S136" s="26" t="n">
        <x:v>2.433462570695224</x:v>
      </x:c>
      <x:c r="T136" s="26" t="n">
        <x:v>-2.1881359456012826</x:v>
      </x:c>
    </x:row>
    <x:row r="137">
      <x:c r="P137" s="26" t="n">
        <x:v>66.5</x:v>
      </x:c>
      <x:c r="Q137" s="26" t="n">
        <x:v>1.969492542246324</x:v>
      </x:c>
      <x:c r="R137" s="26" t="n">
        <x:v>-1.7117811569363708</x:v>
      </x:c>
      <x:c r="S137" s="26" t="n">
        <x:v>2.470472877239888</x:v>
      </x:c>
      <x:c r="T137" s="26" t="n">
        <x:v>-2.2214151022578674</x:v>
      </x:c>
    </x:row>
    <x:row r="138">
      <x:c r="P138" s="26" t="n">
        <x:v>67</x:v>
      </x:c>
      <x:c r="Q138" s="26" t="n">
        <x:v>1.999220311412459</x:v>
      </x:c>
      <x:c r="R138" s="26" t="n">
        <x:v>-1.732170488943411</x:v>
      </x:c>
      <x:c r="S138" s="26" t="n">
        <x:v>2.5077625068528144</x:v>
      </x:c>
      <x:c r="T138" s="26" t="n">
        <x:v>-2.254945422360918</x:v>
      </x:c>
    </x:row>
    <x:row r="139">
      <x:c r="P139" s="26" t="n">
        <x:v>67.5</x:v>
      </x:c>
      <x:c r="Q139" s="26" t="n">
        <x:v>2.029170760497442</x:v>
      </x:c>
      <x:c r="R139" s="26" t="n">
        <x:v>-1.7525598209504514</x:v>
      </x:c>
      <x:c r="S139" s="26" t="n">
        <x:v>2.5453314595340024</x:v>
      </x:c>
      <x:c r="T139" s="26" t="n">
        <x:v>-2.2887269059104325</x:v>
      </x:c>
    </x:row>
    <x:row r="140">
      <x:c r="P140" s="26" t="n">
        <x:v>68</x:v>
      </x:c>
      <x:c r="Q140" s="26" t="n">
        <x:v>2.0593438895012723</x:v>
      </x:c>
      <x:c r="R140" s="26" t="n">
        <x:v>-1.7729491529574921</x:v>
      </x:c>
      <x:c r="S140" s="26" t="n">
        <x:v>2.5831797352834514</x:v>
      </x:c>
      <x:c r="T140" s="26" t="n">
        <x:v>-2.315472432912226</x:v>
      </x:c>
    </x:row>
    <x:row r="141">
      <x:c r="P141" s="26" t="n">
        <x:v>68.5</x:v>
      </x:c>
      <x:c r="Q141" s="26" t="n">
        <x:v>2.0897396984239505</x:v>
      </x:c>
      <x:c r="R141" s="26" t="n">
        <x:v>-1.7933384849645324</x:v>
      </x:c>
      <x:c r="S141" s="26" t="n">
        <x:v>2.6213073341011626</x:v>
      </x:c>
      <x:c r="T141" s="26" t="n">
        <x:v>-2.339850906683639</x:v>
      </x:c>
    </x:row>
    <x:row r="142">
      <x:c r="P142" s="26" t="n">
        <x:v>69</x:v>
      </x:c>
      <x:c r="Q142" s="26" t="n">
        <x:v>2.120358187265475</x:v>
      </x:c>
      <x:c r="R142" s="26" t="n">
        <x:v>-1.8137278169715727</x:v>
      </x:c>
      <x:c r="S142" s="26" t="n">
        <x:v>2.6597142559871347</x:v>
      </x:c>
      <x:c r="T142" s="26" t="n">
        <x:v>-2.3642293804550527</x:v>
      </x:c>
    </x:row>
    <x:row r="143">
      <x:c r="P143" s="26" t="n">
        <x:v>69.5</x:v>
      </x:c>
      <x:c r="Q143" s="26" t="n">
        <x:v>2.151199356025848</x:v>
      </x:c>
      <x:c r="R143" s="26" t="n">
        <x:v>-1.834117148978613</x:v>
      </x:c>
      <x:c r="S143" s="26" t="n">
        <x:v>2.698400500941369</x:v>
      </x:c>
      <x:c r="T143" s="26" t="n">
        <x:v>-2.388607854226466</x:v>
      </x:c>
    </x:row>
    <x:row r="144">
      <x:c r="P144" s="26" t="n">
        <x:v>69.885651</x:v>
      </x:c>
      <x:c r="Q144" s="26" t="n">
        <x:v>2.175139324802656</x:v>
      </x:c>
      <x:c r="R144" s="26" t="n">
        <x:v>-1.849843478933666</x:v>
      </x:c>
      <x:c r="S144" s="26" t="n">
        <x:v>2.728430085860548</x:v>
      </x:c>
      <x:c r="T144" s="26" t="n">
        <x:v>-2.4074110166938514</x:v>
      </x:c>
    </x:row>
    <x:row r="145">
      <x:c r="P145" s="26" t="n">
        <x:v>70</x:v>
      </x:c>
      <x:c r="Q145" s="26" t="n">
        <x:v>2.1822632047050683</x:v>
      </x:c>
      <x:c r="R145" s="26" t="n">
        <x:v>-1.8428063841064355</x:v>
      </x:c>
      <x:c r="S145" s="26" t="n">
        <x:v>2.7373660689638655</x:v>
      </x:c>
      <x:c r="T145" s="26" t="n">
        <x:v>-2.3989971249776665</x:v>
      </x:c>
    </x:row>
    <x:row r="146">
      <x:c r="P146" s="26" t="n">
        <x:v>70.5</x:v>
      </x:c>
      <x:c r="Q146" s="26" t="n">
        <x:v>2.213549733303136</x:v>
      </x:c>
      <x:c r="R146" s="26" t="n">
        <x:v>-1.8120361332637083</x:v>
      </x:c>
      <x:c r="S146" s="26" t="n">
        <x:v>2.7766109600546223</x:v>
      </x:c>
      <x:c r="T146" s="26" t="n">
        <x:v>-2.362206721405337</x:v>
      </x:c>
    </x:row>
    <x:row r="147">
      <x:c r="P147" s="26" t="n">
        <x:v>71</x:v>
      </x:c>
      <x:c r="Q147" s="26" t="n">
        <x:v>2.2450589418200506</x:v>
      </x:c>
      <x:c r="R147" s="26" t="n">
        <x:v>-1.781265882420981</x:v>
      </x:c>
      <x:c r="S147" s="26" t="n">
        <x:v>2.816135174213642</x:v>
      </x:c>
      <x:c r="T147" s="26" t="n">
        <x:v>-2.3254163178330067</x:v>
      </x:c>
    </x:row>
    <x:row r="148">
      <x:c r="P148" s="26" t="n">
        <x:v>71.5</x:v>
      </x:c>
      <x:c r="Q148" s="26" t="n">
        <x:v>2.276790830255813</x:v>
      </x:c>
      <x:c r="R148" s="26" t="n">
        <x:v>-1.7504956315782538</x:v>
      </x:c>
      <x:c r="S148" s="26" t="n">
        <x:v>2.855938711440922</x:v>
      </x:c>
      <x:c r="T148" s="26" t="n">
        <x:v>-2.288625914260677</x:v>
      </x:c>
    </x:row>
    <x:row r="149">
      <x:c r="P149" s="26" t="n">
        <x:v>72</x:v>
      </x:c>
      <x:c r="Q149" s="26" t="n">
        <x:v>2.3087453986104234</x:v>
      </x:c>
      <x:c r="R149" s="26" t="n">
        <x:v>-1.7197253807355266</x:v>
      </x:c>
      <x:c r="S149" s="26" t="n">
        <x:v>2.8960215717364646</x:v>
      </x:c>
      <x:c r="T149" s="26" t="n">
        <x:v>-2.251835510688347</x:v>
      </x:c>
    </x:row>
    <x:row r="150">
      <x:c r="P150" s="26" t="n">
        <x:v>72.5</x:v>
      </x:c>
      <x:c r="Q150" s="26" t="n">
        <x:v>2.34092264688388</x:v>
      </x:c>
      <x:c r="R150" s="26" t="n">
        <x:v>-1.6889551298927994</x:v>
      </x:c>
      <x:c r="S150" s="26" t="n">
        <x:v>2.9363837551002687</x:v>
      </x:c>
      <x:c r="T150" s="26" t="n">
        <x:v>-2.2150451071160173</x:v>
      </x:c>
    </x:row>
    <x:row r="151">
      <x:c r="P151" s="26" t="n">
        <x:v>73</x:v>
      </x:c>
      <x:c r="Q151" s="26" t="n">
        <x:v>2.3733225750761853</x:v>
      </x:c>
      <x:c r="R151" s="26" t="n">
        <x:v>-1.6581848790500722</x:v>
      </x:c>
      <x:c r="S151" s="26" t="n">
        <x:v>2.977025261532334</x:v>
      </x:c>
      <x:c r="T151" s="26" t="n">
        <x:v>-2.178254703543687</x:v>
      </x:c>
    </x:row>
    <x:row r="152">
      <x:c r="P152" s="26" t="n">
        <x:v>73.5</x:v>
      </x:c>
      <x:c r="Q152" s="26" t="n">
        <x:v>2.4059451831873377</x:v>
      </x:c>
      <x:c r="R152" s="26" t="n">
        <x:v>-1.6274146282073447</x:v>
      </x:c>
      <x:c r="S152" s="26" t="n">
        <x:v>3.017946091032661</x:v>
      </x:c>
      <x:c r="T152" s="26" t="n">
        <x:v>-2.1414642999713576</x:v>
      </x:c>
    </x:row>
    <x:row r="153">
      <x:c r="P153" s="26" t="n">
        <x:v>74</x:v>
      </x:c>
      <x:c r="Q153" s="26" t="n">
        <x:v>2.4387904712173376</x:v>
      </x:c>
      <x:c r="R153" s="26" t="n">
        <x:v>-1.5966443773646175</x:v>
      </x:c>
      <x:c r="S153" s="26" t="n">
        <x:v>3.0591462436012495</x:v>
      </x:c>
      <x:c r="T153" s="26" t="n">
        <x:v>-2.1046738963990275</x:v>
      </x:c>
    </x:row>
    <x:row r="154">
      <x:c r="P154" s="26" t="n">
        <x:v>74.5</x:v>
      </x:c>
      <x:c r="Q154" s="26" t="n">
        <x:v>2.4718584391661844</x:v>
      </x:c>
      <x:c r="R154" s="26" t="n">
        <x:v>-1.5658741265218903</x:v>
      </x:c>
      <x:c r="S154" s="26" t="n">
        <x:v>3.1006257192381006</x:v>
      </x:c>
      <x:c r="T154" s="26" t="n">
        <x:v>-2.067883492826698</x:v>
      </x:c>
    </x:row>
    <x:row r="155">
      <x:c r="P155" s="26" t="n">
        <x:v>75</x:v>
      </x:c>
      <x:c r="Q155" s="26" t="n">
        <x:v>2.505149087033879</x:v>
      </x:c>
      <x:c r="R155" s="26" t="n">
        <x:v>-1.535103875679163</x:v>
      </x:c>
      <x:c r="S155" s="26" t="n">
        <x:v>3.142384517943212</x:v>
      </x:c>
      <x:c r="T155" s="26" t="n">
        <x:v>-2.0310930892543677</x:v>
      </x:c>
    </x:row>
    <x:row r="156">
      <x:c r="P156" s="26" t="n">
        <x:v>75.5</x:v>
      </x:c>
      <x:c r="Q156" s="26" t="n">
        <x:v>2.5386624148204215</x:v>
      </x:c>
      <x:c r="R156" s="26" t="n">
        <x:v>-1.5043336248364358</x:v>
      </x:c>
      <x:c r="S156" s="26" t="n">
        <x:v>3.184422639716586</x:v>
      </x:c>
      <x:c r="T156" s="26" t="n">
        <x:v>-1.994302685682038</x:v>
      </x:c>
    </x:row>
    <x:row r="157">
      <x:c r="P157" s="26" t="n">
        <x:v>76</x:v>
      </x:c>
      <x:c r="Q157" s="26" t="n">
        <x:v>2.572398422525811</x:v>
      </x:c>
      <x:c r="R157" s="26" t="n">
        <x:v>-1.4735633739937084</x:v>
      </x:c>
      <x:c r="S157" s="26" t="n">
        <x:v>3.2267400845582217</x:v>
      </x:c>
      <x:c r="T157" s="26" t="n">
        <x:v>-1.957512282109708</x:v>
      </x:c>
    </x:row>
    <x:row r="158">
      <x:c r="P158" s="26" t="n">
        <x:v>76.5</x:v>
      </x:c>
      <x:c r="Q158" s="26" t="n">
        <x:v>2.606357110150048</x:v>
      </x:c>
      <x:c r="R158" s="26" t="n">
        <x:v>-1.4427931231509814</x:v>
      </x:c>
      <x:c r="S158" s="26" t="n">
        <x:v>3.269336852468118</x:v>
      </x:c>
      <x:c r="T158" s="26" t="n">
        <x:v>-1.9207218785373783</x:v>
      </x:c>
    </x:row>
    <x:row r="159">
      <x:c r="P159" s="26" t="n">
        <x:v>77</x:v>
      </x:c>
      <x:c r="Q159" s="26" t="n">
        <x:v>2.6405384776931324</x:v>
      </x:c>
      <x:c r="R159" s="26" t="n">
        <x:v>-1.412022872308254</x:v>
      </x:c>
      <x:c r="S159" s="26" t="n">
        <x:v>3.312212943446277</x:v>
      </x:c>
      <x:c r="T159" s="26" t="n">
        <x:v>-1.8839314749650482</x:v>
      </x:c>
    </x:row>
    <x:row r="160">
      <x:c r="P160" s="26" t="n">
        <x:v>77.5</x:v>
      </x:c>
      <x:c r="Q160" s="26" t="n">
        <x:v>2.6749425251550645</x:v>
      </x:c>
      <x:c r="R160" s="26" t="n">
        <x:v>-1.3812526214655267</x:v>
      </x:c>
      <x:c r="S160" s="26" t="n">
        <x:v>3.3553683574926962</x:v>
      </x:c>
      <x:c r="T160" s="26" t="n">
        <x:v>-1.8471410713927185</x:v>
      </x:c>
    </x:row>
    <x:row r="161">
      <x:c r="P161" s="26" t="n">
        <x:v>78</x:v>
      </x:c>
      <x:c r="Q161" s="26" t="n">
        <x:v>2.7095692525358435</x:v>
      </x:c>
      <x:c r="R161" s="26" t="n">
        <x:v>-1.3504823706227995</x:v>
      </x:c>
      <x:c r="S161" s="26" t="n">
        <x:v>3.3988030946073784</x:v>
      </x:c>
      <x:c r="T161" s="26" t="n">
        <x:v>-1.8103506678203887</x:v>
      </x:c>
    </x:row>
    <x:row r="162">
      <x:c r="P162" s="26" t="n">
        <x:v>78.5</x:v>
      </x:c>
      <x:c r="Q162" s="26" t="n">
        <x:v>2.7444186598354703</x:v>
      </x:c>
      <x:c r="R162" s="26" t="n">
        <x:v>-1.319712119780072</x:v>
      </x:c>
      <x:c r="S162" s="26" t="n">
        <x:v>3.442517154790322</x:v>
      </x:c>
      <x:c r="T162" s="26" t="n">
        <x:v>-1.7735602642480588</x:v>
      </x:c>
    </x:row>
    <x:row r="163">
      <x:c r="P163" s="26" t="n">
        <x:v>79</x:v>
      </x:c>
      <x:c r="Q163" s="26" t="n">
        <x:v>2.779490747053945</x:v>
      </x:c>
      <x:c r="R163" s="26" t="n">
        <x:v>-1.288941868937345</x:v>
      </x:c>
      <x:c r="S163" s="26" t="n">
        <x:v>3.4865105380415264</x:v>
      </x:c>
      <x:c r="T163" s="26" t="n">
        <x:v>-1.7367698606757287</x:v>
      </x:c>
    </x:row>
    <x:row r="164">
      <x:c r="P164" s="26" t="n">
        <x:v>79.5</x:v>
      </x:c>
      <x:c r="Q164" s="26" t="n">
        <x:v>2.814785514191267</x:v>
      </x:c>
      <x:c r="R164" s="26" t="n">
        <x:v>-1.2581716180946176</x:v>
      </x:c>
      <x:c r="S164" s="26" t="n">
        <x:v>3.5307832443609937</x:v>
      </x:c>
      <x:c r="T164" s="26" t="n">
        <x:v>-1.699979457103399</x:v>
      </x:c>
    </x:row>
    <x:row r="165">
      <x:c r="P165" s="26" t="n">
        <x:v>80</x:v>
      </x:c>
      <x:c r="Q165" s="26" t="n">
        <x:v>2.8503029612474355</x:v>
      </x:c>
      <x:c r="R165" s="26" t="n">
        <x:v>-1.2274013672518906</x:v>
      </x:c>
      <x:c r="S165" s="26" t="n">
        <x:v>3.5753352737487214</x:v>
      </x:c>
      <x:c r="T165" s="26" t="n">
        <x:v>-1.6631890535310692</x:v>
      </x:c>
    </x:row>
    <x:row r="166">
      <x:c r="P166" s="26" t="n">
        <x:v>80.5</x:v>
      </x:c>
      <x:c r="Q166" s="26" t="n">
        <x:v>2.8860430882224524</x:v>
      </x:c>
      <x:c r="R166" s="26" t="n">
        <x:v>-1.1966311164091632</x:v>
      </x:c>
      <x:c r="S166" s="26" t="n">
        <x:v>3.6201666262047114</x:v>
      </x:c>
      <x:c r="T166" s="26" t="n">
        <x:v>-1.6263986499587393</x:v>
      </x:c>
    </x:row>
    <x:row r="167">
      <x:c r="P167" s="26" t="n">
        <x:v>81</x:v>
      </x:c>
      <x:c r="Q167" s="26" t="n">
        <x:v>2.9220058951163166</x:v>
      </x:c>
      <x:c r="R167" s="26" t="n">
        <x:v>-1.165860865566436</x:v>
      </x:c>
      <x:c r="S167" s="26" t="n">
        <x:v>3.6652773017289633</x:v>
      </x:c>
      <x:c r="T167" s="26" t="n">
        <x:v>-1.5896082463864094</x:v>
      </x:c>
    </x:row>
    <x:row r="168">
      <x:c r="P168" s="26" t="n">
        <x:v>81.5</x:v>
      </x:c>
      <x:c r="Q168" s="26" t="n">
        <x:v>2.9581913819290286</x:v>
      </x:c>
      <x:c r="R168" s="26" t="n">
        <x:v>-1.1350906147237088</x:v>
      </x:c>
      <x:c r="S168" s="26" t="n">
        <x:v>3.7106673003214756</x:v>
      </x:c>
      <x:c r="T168" s="26" t="n">
        <x:v>-1.5528178428140795</x:v>
      </x:c>
    </x:row>
    <x:row r="169">
      <x:c r="P169" s="26" t="n">
        <x:v>82</x:v>
      </x:c>
      <x:c r="Q169" s="26" t="n">
        <x:v>2.994599548660587</x:v>
      </x:c>
      <x:c r="R169" s="26" t="n">
        <x:v>-1.1043203638809815</x:v>
      </x:c>
      <x:c r="S169" s="26" t="n">
        <x:v>3.7563366219822507</x:v>
      </x:c>
      <x:c r="T169" s="26" t="n">
        <x:v>-1.5160274392417497</x:v>
      </x:c>
    </x:row>
    <x:row r="170">
      <x:c r="P170" s="26" t="n">
        <x:v>82.5</x:v>
      </x:c>
      <x:c r="Q170" s="26" t="n">
        <x:v>3.0312303953109936</x:v>
      </x:c>
      <x:c r="R170" s="26" t="n">
        <x:v>-1.0735501130382543</x:v>
      </x:c>
      <x:c r="S170" s="26" t="n">
        <x:v>3.8</x:v>
      </x:c>
      <x:c r="T170" s="26" t="n">
        <x:v>-1.4792370356694198</x:v>
      </x:c>
    </x:row>
    <x:row r="171">
      <x:c r="P171" s="26" t="n">
        <x:v>83</x:v>
      </x:c>
      <x:c r="Q171" s="26" t="n">
        <x:v>3.068083921880248</x:v>
      </x:c>
      <x:c r="R171" s="26" t="n">
        <x:v>-1.0427798621955269</x:v>
      </x:c>
      <x:c r="S171" s="26" t="n">
        <x:v>3.8</x:v>
      </x:c>
      <x:c r="T171" s="26" t="n">
        <x:v>-1.44244663209709</x:v>
      </x:c>
    </x:row>
    <x:row r="172">
      <x:c r="P172" s="26" t="n">
        <x:v>83.5</x:v>
      </x:c>
      <x:c r="Q172" s="26" t="n">
        <x:v>3.1051601283683485</x:v>
      </x:c>
      <x:c r="R172" s="26" t="n">
        <x:v>-1.0120096113527999</x:v>
      </x:c>
      <x:c r="S172" s="26" t="n">
        <x:v>3.8</x:v>
      </x:c>
      <x:c r="T172" s="26" t="n">
        <x:v>-1.40565622852476</x:v>
      </x:c>
    </x:row>
    <x:row r="173">
      <x:c r="P173" s="26" t="n">
        <x:v>84</x:v>
      </x:c>
      <x:c r="Q173" s="26" t="n">
        <x:v>3.142459014775298</x:v>
      </x:c>
      <x:c r="R173" s="26" t="n">
        <x:v>-0.9812393605100724</x:v>
      </x:c>
      <x:c r="S173" s="26" t="n">
        <x:v>3.8</x:v>
      </x:c>
      <x:c r="T173" s="26" t="n">
        <x:v>-1.3688658249524301</x:v>
      </x:c>
    </x:row>
    <x:row r="174">
      <x:c r="P174" s="26" t="n">
        <x:v>84.5</x:v>
      </x:c>
      <x:c r="Q174" s="26" t="n">
        <x:v>3.1799805811010944</x:v>
      </x:c>
      <x:c r="R174" s="26" t="n">
        <x:v>-0.9504691096673452</x:v>
      </x:c>
      <x:c r="S174" s="26" t="n">
        <x:v>3.8</x:v>
      </x:c>
      <x:c r="T174" s="26" t="n">
        <x:v>-1.3320754213801003</x:v>
      </x:c>
    </x:row>
    <x:row r="175">
      <x:c r="P175" s="26" t="n">
        <x:v>85</x:v>
      </x:c>
      <x:c r="Q175" s="26" t="n">
        <x:v>3.217724827345738</x:v>
      </x:c>
      <x:c r="R175" s="26" t="n">
        <x:v>-0.919698858824618</x:v>
      </x:c>
      <x:c r="S175" s="26" t="n">
        <x:v>3.8</x:v>
      </x:c>
      <x:c r="T175" s="26" t="n">
        <x:v>-1.2952850178077704</x:v>
      </x:c>
    </x:row>
    <x:row r="176">
      <x:c r="P176" s="26" t="n">
        <x:v>85.5</x:v>
      </x:c>
      <x:c r="Q176" s="26" t="n">
        <x:v>3.255691753509229</x:v>
      </x:c>
      <x:c r="R176" s="26" t="n">
        <x:v>-0.8889286079818907</x:v>
      </x:c>
      <x:c r="S176" s="26" t="n">
        <x:v>3.8</x:v>
      </x:c>
      <x:c r="T176" s="26" t="n">
        <x:v>-1.2584946142354405</x:v>
      </x:c>
    </x:row>
    <x:row r="177">
      <x:c r="P177" s="26" t="n">
        <x:v>86</x:v>
      </x:c>
      <x:c r="Q177" s="26" t="n">
        <x:v>3.293881359591568</x:v>
      </x:c>
      <x:c r="R177" s="26" t="n">
        <x:v>-0.8581583571391634</x:v>
      </x:c>
      <x:c r="S177" s="26" t="n">
        <x:v>3.8</x:v>
      </x:c>
      <x:c r="T177" s="26" t="n">
        <x:v>-1.2217042106631106</x:v>
      </x:c>
    </x:row>
    <x:row r="178">
      <x:c r="P178" s="26" t="n">
        <x:v>86.5</x:v>
      </x:c>
      <x:c r="Q178" s="26" t="n">
        <x:v>3.3322936455927543</x:v>
      </x:c>
      <x:c r="R178" s="26" t="n">
        <x:v>-0.8273881062964361</x:v>
      </x:c>
      <x:c r="S178" s="26" t="n">
        <x:v>3.8</x:v>
      </x:c>
      <x:c r="T178" s="26" t="n">
        <x:v>-1.1849138070907808</x:v>
      </x:c>
    </x:row>
    <x:row r="179">
      <x:c r="P179" s="26" t="n">
        <x:v>87</x:v>
      </x:c>
      <x:c r="Q179" s="26" t="n">
        <x:v>3.370928611512788</x:v>
      </x:c>
      <x:c r="R179" s="26" t="n">
        <x:v>-0.7966178554537089</x:v>
      </x:c>
      <x:c r="S179" s="26" t="n">
        <x:v>3.8</x:v>
      </x:c>
      <x:c r="T179" s="26" t="n">
        <x:v>-1.1481234035184509</x:v>
      </x:c>
    </x:row>
    <x:row r="180">
      <x:c r="P180" s="26" t="n">
        <x:v>87.277627</x:v>
      </x:c>
      <x:c r="Q180" s="26" t="n">
        <x:v>3.3924769797269523</x:v>
      </x:c>
      <x:c r="R180" s="26" t="n">
        <x:v>-0.7795325505922817</x:v>
      </x:c>
      <x:c r="S180" s="26" t="n">
        <x:v>3.8</x:v>
      </x:c>
      <x:c r="T180" s="26" t="n">
        <x:v>-1.127695384773301</x:v>
      </x:c>
    </x:row>
  </x:sheetData>
  <x:mergeCells>
    <x:mergeCell ref="A1:N1"/>
    <x:mergeCell ref="A16:D16"/>
    <x:mergeCell ref="A17:D17"/>
    <x:mergeCell ref="A18:D18"/>
    <x:mergeCell ref="A19:D19"/>
    <x:mergeCell ref="A20:D20"/>
    <x:mergeCell ref="A21:D21"/>
    <x:mergeCell ref="A23:D23"/>
  </x:mergeCells>
  <x:pageMargins left="0.7" right="0.7" top="0.75" bottom="0.75" header="0.3" footer="0.3"/>
  <x:drawing xmlns:r="http://schemas.openxmlformats.org/officeDocument/2006/relationships" r:id="Rabdeb87a90b74afa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48" hidden="0" customWidth="1"/>
  </x:cols>
  <x:sheetData>
    <x:row r="1">
      <x:c r="A1" s="5" t="str">
        <x:v>V–n Diagram Inputs and Regulatory Basis</x:v>
      </x:c>
      <x:c r="B1" s="5"/>
      <x:c r="C1" s="5"/>
      <x:c r="D1" s="5"/>
    </x:row>
    <x:row r="3">
      <x:c r="A3" s="14" t="str">
        <x:v>Parameter</x:v>
      </x:c>
      <x:c r="B3" s="14" t="str">
        <x:v>Symbol</x:v>
      </x:c>
      <x:c r="C3" s="14" t="str">
        <x:v>Value</x:v>
      </x:c>
      <x:c r="D3" s="14" t="str">
        <x:v>Source / note</x:v>
      </x:c>
    </x:row>
    <x:row r="4">
      <x:c r="A4" s="20" t="str">
        <x:v>MTOW mass</x:v>
      </x:c>
      <x:c r="B4" s="20" t="str">
        <x:v>m_MTOW</x:v>
      </x:c>
      <x:c r="C4" s="20" t="n">
        <x:v>1464.54</x:v>
      </x:c>
      <x:c r="D4" s="20" t="str">
        <x:v>sonun_sonu.pdf, Sec. 10.3</x:v>
      </x:c>
    </x:row>
    <x:row r="5">
      <x:c r="A5" s="20" t="str">
        <x:v>Operating empty mass</x:v>
      </x:c>
      <x:c r="B5" s="20" t="str">
        <x:v>m_OEW</x:v>
      </x:c>
      <x:c r="C5" s="20" t="n">
        <x:v>1002.7</x:v>
      </x:c>
      <x:c r="D5" s="20" t="str">
        <x:v>sonun_sonu.pdf, Table 10</x:v>
      </x:c>
    </x:row>
    <x:row r="6">
      <x:c r="A6" s="20" t="str">
        <x:v>Payload mass</x:v>
      </x:c>
      <x:c r="B6" s="20" t="str">
        <x:v>m_payload</x:v>
      </x:c>
      <x:c r="C6" s="20" t="n">
        <x:v>150</x:v>
      </x:c>
      <x:c r="D6" s="20" t="str">
        <x:v>RFP / sonun_sonu.pdf</x:v>
      </x:c>
    </x:row>
    <x:row r="7">
      <x:c r="A7" s="20" t="str">
        <x:v>Trapped fuel mass</x:v>
      </x:c>
      <x:c r="B7" s="20" t="str">
        <x:v>m_trapped</x:v>
      </x:c>
      <x:c r="C7" s="20" t="n">
        <x:v>14.85</x:v>
      </x:c>
      <x:c r="D7" s="20" t="str">
        <x:v>sonun_sonu.pdf, Table 10</x:v>
      </x:c>
    </x:row>
    <x:row r="8">
      <x:c r="A8" s="20" t="str">
        <x:v>Minimum operational mass</x:v>
      </x:c>
      <x:c r="B8" s="20" t="str">
        <x:v>m_min,op</x:v>
      </x:c>
      <x:c r="C8" s="20" t="n">
        <x:v>1167.55</x:v>
      </x:c>
      <x:c r="D8" s="20" t="str">
        <x:v>Derived: OEW + payload + trapped fuel</x:v>
      </x:c>
    </x:row>
    <x:row r="9">
      <x:c r="A9" s="20" t="str">
        <x:v>Wing area</x:v>
      </x:c>
      <x:c r="B9" s="20" t="str">
        <x:v>S</x:v>
      </x:c>
      <x:c r="C9" s="20" t="n">
        <x:v>27.683</x:v>
      </x:c>
      <x:c r="D9" s="20" t="str">
        <x:v>sonun_sonu.pdf, Sec. 10.3</x:v>
      </x:c>
    </x:row>
    <x:row r="10">
      <x:c r="A10" s="20" t="str">
        <x:v>Wingspan</x:v>
      </x:c>
      <x:c r="B10" s="20" t="str">
        <x:v>b</x:v>
      </x:c>
      <x:c r="C10" s="20" t="n">
        <x:v>23.53</x:v>
      </x:c>
      <x:c r="D10" s="20" t="str">
        <x:v>sonun_sonu.pdf, Sec. 10.3</x:v>
      </x:c>
    </x:row>
    <x:row r="11">
      <x:c r="A11" s="20" t="str">
        <x:v>Mean geometric chord</x:v>
      </x:c>
      <x:c r="B11" s="20" t="str">
        <x:v>MGC</x:v>
      </x:c>
      <x:c r="C11" s="20" t="n">
        <x:v>1.1764980875478113</x:v>
      </x:c>
      <x:c r="D11" s="20" t="str">
        <x:v>S/b; required by gust mass-ratio relation</x:v>
      </x:c>
    </x:row>
    <x:row r="12">
      <x:c r="A12" s="20" t="str">
        <x:v>Clean aircraft CLmax</x:v>
      </x:c>
      <x:c r="B12" s="20" t="str">
        <x:v>CLmax</x:v>
      </x:c>
      <x:c r="C12" s="20" t="n">
        <x:v>1.4254</x:v>
      </x:c>
      <x:c r="D12" s="20" t="str">
        <x:v>sonun_sonu.pdf, Eq. (22)</x:v>
      </x:c>
    </x:row>
    <x:row r="13">
      <x:c r="A13" s="20" t="str">
        <x:v>Negative lift limit (provisional)</x:v>
      </x:c>
      <x:c r="B13" s="20" t="str">
        <x:v>CLmin</x:v>
      </x:c>
      <x:c r="C13" s="20" t="n">
        <x:v>-1.2817</x:v>
      </x:c>
      <x:c r="D13" s="20" t="str">
        <x:v>XFLR5 NACA 4415; Flow5 3D did not reach negative stall</x:v>
      </x:c>
    </x:row>
    <x:row r="14">
      <x:c r="A14" s="20" t="str">
        <x:v>Aircraft lift-curve slope</x:v>
      </x:c>
      <x:c r="B14" s="20" t="str">
        <x:v>a [1/deg]</x:v>
      </x:c>
      <x:c r="C14" s="20" t="n">
        <x:v>0.10857152</x:v>
      </x:c>
      <x:c r="D14" s="20" t="str">
        <x:v>Linear fit to final Flow5 CL(alpha), -4° to +4°</x:v>
      </x:c>
    </x:row>
    <x:row r="15">
      <x:c r="A15" s="20" t="str">
        <x:v>Aircraft lift-curve slope</x:v>
      </x:c>
      <x:c r="B15" s="20" t="str">
        <x:v>a [1/rad]</x:v>
      </x:c>
      <x:c r="C15" s="20" t="n">
        <x:v>6.220689871320208</x:v>
      </x:c>
      <x:c r="D15" s="20" t="str">
        <x:v>Converted from Flow5 slope</x:v>
      </x:c>
    </x:row>
    <x:row r="16">
      <x:c r="A16" s="20" t="str">
        <x:v>Critical gust altitude</x:v>
      </x:c>
      <x:c r="B16" s="20" t="str">
        <x:v>h</x:v>
      </x:c>
      <x:c r="C16" s="20" t="n">
        <x:v>20000</x:v>
      </x:c>
      <x:c r="D16" s="20" t="str">
        <x:v>AEP-4671 gust intensity remains full to 20,000 ft</x:v>
      </x:c>
    </x:row>
    <x:row r="17">
      <x:c r="A17" s="20" t="str">
        <x:v>ISA density at 20,000 ft</x:v>
      </x:c>
      <x:c r="B17" s="20" t="str">
        <x:v>rho</x:v>
      </x:c>
      <x:c r="C17" s="20" t="n">
        <x:v>0.6526937614581372</x:v>
      </x:c>
      <x:c r="D17" s="20" t="str">
        <x:v>US Standard Atmosphere calculation</x:v>
      </x:c>
    </x:row>
    <x:row r="18">
      <x:c r="A18" s="20" t="str">
        <x:v>Design cruise speed</x:v>
      </x:c>
      <x:c r="B18" s="20" t="str">
        <x:v>VC [KCAS]</x:v>
      </x:c>
      <x:c r="C18" s="20" t="n">
        <x:v>70</x:v>
      </x:c>
      <x:c r="D18" s="20" t="str">
        <x:v>RFP operating requirement</x:v>
      </x:c>
    </x:row>
    <x:row r="19">
      <x:c r="A19" s="20" t="str">
        <x:v>Design cruise speed</x:v>
      </x:c>
      <x:c r="B19" s="20" t="str">
        <x:v>VC [KEAS]</x:v>
      </x:c>
      <x:c r="C19" s="20" t="n">
        <x:v>69.88565097458304</x:v>
      </x:c>
      <x:c r="D19" s="20" t="str">
        <x:v>CAS→EAS at 20,000 ft</x:v>
      </x:c>
    </x:row>
    <x:row r="20">
      <x:c r="A20" s="20" t="str">
        <x:v>Design dive speed</x:v>
      </x:c>
      <x:c r="B20" s="20" t="str">
        <x:v>VD [KCAS]</x:v>
      </x:c>
      <x:c r="C20" s="20" t="n">
        <x:v>87.5</x:v>
      </x:c>
      <x:c r="D20" s="20" t="str">
        <x:v>AEP-4671: VD &gt;= 1.25 VC</x:v>
      </x:c>
    </x:row>
    <x:row r="21">
      <x:c r="A21" s="20" t="str">
        <x:v>Design dive speed</x:v>
      </x:c>
      <x:c r="B21" s="20" t="str">
        <x:v>VD [KEAS]</x:v>
      </x:c>
      <x:c r="C21" s="20" t="n">
        <x:v>87.27762745041773</x:v>
      </x:c>
      <x:c r="D21" s="20" t="str">
        <x:v>CAS→EAS at 20,000 ft</x:v>
      </x:c>
    </x:row>
    <x:row r="22">
      <x:c r="A22" s="20" t="str">
        <x:v>Derived gust at VC</x:v>
      </x:c>
      <x:c r="B22" s="20" t="str">
        <x:v>Ude,C [m/s]</x:v>
      </x:c>
      <x:c r="C22" s="20" t="n">
        <x:v>15.2</x:v>
      </x:c>
      <x:c r="D22" s="20" t="str">
        <x:v>AEP-4671 / USAR.333(c), up to 20,000 ft</x:v>
      </x:c>
    </x:row>
    <x:row r="23">
      <x:c r="A23" s="20" t="str">
        <x:v>Derived gust at VD</x:v>
      </x:c>
      <x:c r="B23" s="20" t="str">
        <x:v>Ude,D [m/s]</x:v>
      </x:c>
      <x:c r="C23" s="20" t="n">
        <x:v>7.6</x:v>
      </x:c>
      <x:c r="D23" s="20" t="str">
        <x:v>AEP-4671 / USAR.333(c), up to 20,000 ft</x:v>
      </x:c>
    </x:row>
    <x:row r="24">
      <x:c r="A24" s="20" t="str">
        <x:v>Positive maneuver limit</x:v>
      </x:c>
      <x:c r="B24" s="20" t="str">
        <x:v>n_lim,+</x:v>
      </x:c>
      <x:c r="C24" s="20" t="n">
        <x:v>3.8</x:v>
      </x:c>
      <x:c r="D24" s="20" t="str">
        <x:v>AEP-4671 / USAR.337(a)</x:v>
      </x:c>
    </x:row>
    <x:row r="25">
      <x:c r="A25" s="20" t="str">
        <x:v>Negative maneuver limit</x:v>
      </x:c>
      <x:c r="B25" s="20" t="str">
        <x:v>n_lim,-</x:v>
      </x:c>
      <x:c r="C25" s="20" t="n">
        <x:v>-1.52</x:v>
      </x:c>
      <x:c r="D25" s="20" t="str">
        <x:v>AEP-4671 / USAR.337(b)</x:v>
      </x:c>
    </x:row>
    <x:row r="26">
      <x:c r="A26" s="20" t="str">
        <x:v>Ultimate safety factor</x:v>
      </x:c>
      <x:c r="B26" s="20" t="str">
        <x:v>SF</x:v>
      </x:c>
      <x:c r="C26" s="20" t="n">
        <x:v>1.5</x:v>
      </x:c>
      <x:c r="D26" s="20" t="str">
        <x:v>Limit-to-ultimate factor for structural interpretation</x:v>
      </x:c>
    </x:row>
    <x:row r="28">
      <x:c r="A28" s="23" t="str">
        <x:v>Calculated Gust Parameters at 20,000 ft</x:v>
      </x:c>
      <x:c r="B28" s="23"/>
      <x:c r="C28" s="23"/>
      <x:c r="D28" s="23"/>
    </x:row>
    <x:row r="29">
      <x:c r="A29" s="14" t="str">
        <x:v>Condition</x:v>
      </x:c>
      <x:c r="B29" s="14" t="str">
        <x:v>MTOW</x:v>
      </x:c>
      <x:c r="C29" s="14" t="str">
        <x:v>Minimum operational</x:v>
      </x:c>
      <x:c r="D29" s="14" t="str">
        <x:v>Units</x:v>
      </x:c>
    </x:row>
    <x:row r="30">
      <x:c r="A30" t="str">
        <x:v>Mass</x:v>
      </x:c>
      <x:c r="B30" s="26" t="n">
        <x:v>1464.54</x:v>
      </x:c>
      <x:c r="C30" s="26" t="n">
        <x:v>1167.55</x:v>
      </x:c>
      <x:c r="D30" t="str">
        <x:v>kg</x:v>
      </x:c>
    </x:row>
    <x:row r="31">
      <x:c r="A31" t="str">
        <x:v>Wing loading</x:v>
      </x:c>
      <x:c r="B31" s="26" t="n">
        <x:v>518.8105043167286</x:v>
      </x:c>
      <x:c r="C31" s="26" t="n">
        <x:v>413.6023627316403</x:v>
      </x:c>
      <x:c r="D31" t="str">
        <x:v>N/m²</x:v>
      </x:c>
    </x:row>
    <x:row r="32">
      <x:c r="A32" t="str">
        <x:v>Mass ratio μg</x:v>
      </x:c>
      <x:c r="B32" s="26" t="n">
        <x:v>22.150260752929775</x:v>
      </x:c>
      <x:c r="C32" s="26" t="n">
        <x:v>17.658470879650373</x:v>
      </x:c>
      <x:c r="D32" t="str">
        <x:v>-</x:v>
      </x:c>
    </x:row>
    <x:row r="33">
      <x:c r="A33" t="str">
        <x:v>Gust alleviation Kg</x:v>
      </x:c>
      <x:c r="B33" s="26" t="n">
        <x:v>0.7100926886640881</x:v>
      </x:c>
      <x:c r="C33" s="26" t="n">
        <x:v>0.6768505818854854</x:v>
      </x:c>
      <x:c r="D33" t="str">
        <x:v>-</x:v>
      </x:c>
    </x:row>
    <x:row r="34">
      <x:c r="A34" t="str">
        <x:v>n at VC, positive gust</x:v>
      </x:c>
      <x:c r="B34" s="26" t="n">
        <x:v>3.849843480497838</x:v>
      </x:c>
      <x:c r="C34" s="26" t="n">
        <x:v>4.407411018564051</x:v>
      </x:c>
      <x:c r="D34" t="str">
        <x:v>g</x:v>
      </x:c>
    </x:row>
    <x:row r="35">
      <x:c r="A35" t="str">
        <x:v>n at VC, negative gust</x:v>
      </x:c>
      <x:c r="B35" s="26" t="n">
        <x:v>-1.8498434804978379</x:v>
      </x:c>
      <x:c r="C35" s="26" t="n">
        <x:v>-2.4074110185640514</x:v>
      </x:c>
      <x:c r="D35" t="str">
        <x:v>g</x:v>
      </x:c>
    </x:row>
    <x:row r="36">
      <x:c r="A36" t="str">
        <x:v>n at VD, positive gust</x:v>
      </x:c>
      <x:c r="B36" s="26" t="n">
        <x:v>2.7795325228733487</x:v>
      </x:c>
      <x:c r="C36" s="26" t="n">
        <x:v>3.1276953516312007</x:v>
      </x:c>
      <x:c r="D36" t="str">
        <x:v>g</x:v>
      </x:c>
    </x:row>
    <x:row r="37">
      <x:c r="A37" t="str">
        <x:v>n at VD, negative gust</x:v>
      </x:c>
      <x:c r="B37" s="26" t="n">
        <x:v>-0.7795325228733485</x:v>
      </x:c>
      <x:c r="C37" s="26" t="n">
        <x:v>-1.1276953516312007</x:v>
      </x:c>
      <x:c r="D37" t="str">
        <x:v>g</x:v>
      </x:c>
    </x:row>
    <x:row r="38">
      <x:c r="A38" t="str">
        <x:v>Positive 1-g stall speed</x:v>
      </x:c>
      <x:c r="B38" s="26" t="n">
        <x:v>47.3853917021513</x:v>
      </x:c>
      <x:c r="C38" s="26" t="n">
        <x:v>42.308886949993834</x:v>
      </x:c>
      <x:c r="D38" t="str">
        <x:v>KEAS</x:v>
      </x:c>
    </x:row>
    <x:row r="39">
      <x:c r="A39" t="str">
        <x:v>Negative 1-g stall speed</x:v>
      </x:c>
      <x:c r="B39" s="26" t="n">
        <x:v>49.97118635546454</x:v>
      </x:c>
      <x:c r="C39" s="26" t="n">
        <x:v>44.61765954283412</x:v>
      </x:c>
      <x:c r="D39" t="str">
        <x:v>KEAS</x:v>
      </x:c>
    </x:row>
    <x:row r="40">
      <x:c r="A40" t="str">
        <x:v>Positive maneuver speed VA</x:v>
      </x:c>
      <x:c r="B40" s="26" t="n">
        <x:v>92.37113357381718</x:v>
      </x:c>
      <x:c r="C40" s="26" t="n">
        <x:v>82.47520401187234</x:v>
      </x:c>
      <x:c r="D40" t="str">
        <x:v>KEAS</x:v>
      </x:c>
    </x:row>
    <x:row r="41">
      <x:c r="A41" t="str">
        <x:v>Negative corner speed VG</x:v>
      </x:c>
      <x:c r="B41" s="26" t="n">
        <x:v>61.60861618291957</x:v>
      </x:c>
      <x:c r="C41" s="26" t="n">
        <x:v>55.00834505310981</x:v>
      </x:c>
      <x:c r="D41" t="str">
        <x:v>KEAS</x:v>
      </x:c>
    </x:row>
    <x:row r="42">
      <x:c r="A42" t="str">
        <x:v>Combined maximum n</x:v>
      </x:c>
      <x:c r="B42" s="26" t="n">
        <x:v>3.3924769797269523</x:v>
      </x:c>
      <x:c r="C42" s="26" t="n">
        <x:v>3.8</x:v>
      </x:c>
      <x:c r="D42" t="str">
        <x:v>g</x:v>
      </x:c>
    </x:row>
    <x:row r="43">
      <x:c r="A43" t="str">
        <x:v>Combined minimum n</x:v>
      </x:c>
      <x:c r="B43" s="26" t="n">
        <x:v>-1.849843478933666</x:v>
      </x:c>
      <x:c r="C43" s="26" t="n">
        <x:v>-2.4074110166938514</x:v>
      </x:c>
      <x:c r="D43" t="str">
        <x:v>g</x:v>
      </x:c>
    </x:row>
  </x:sheetData>
  <x:mergeCells>
    <x:mergeCell ref="A1:D1"/>
    <x:mergeCell ref="A28:D2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3" max="13" width="16" hidden="0" customWidth="1"/>
    <x:col min="14" max="14" width="16" hidden="0" customWidth="1"/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>
      <x:c r="A1" s="5" t="str">
        <x:v>MTOW = 1464.54 kg — V–n Calculation Data (20,000 ft)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M2" s="23" t="str">
        <x:v>Mass [kg]</x:v>
      </x:c>
      <x:c r="N2" t="n">
        <x:v>1464.54</x:v>
      </x:c>
    </x:row>
    <x:row r="3">
      <x:c r="A3" s="14" t="str">
        <x:v>V [KEAS]</x:v>
      </x:c>
      <x:c r="B3" s="14" t="str">
        <x:v>Positive stall</x:v>
      </x:c>
      <x:c r="C3" s="14" t="str">
        <x:v>Negative stall (provisional)</x:v>
      </x:c>
      <x:c r="D3" s="14" t="str">
        <x:v>Maneuver upper</x:v>
      </x:c>
      <x:c r="E3" s="14" t="str">
        <x:v>Maneuver lower</x:v>
      </x:c>
      <x:c r="F3" s="14" t="str">
        <x:v>Raw gust upper</x:v>
      </x:c>
      <x:c r="G3" s="14" t="str">
        <x:v>Raw gust lower</x:v>
      </x:c>
      <x:c r="H3" s="14" t="str">
        <x:v>Attainable gust upper</x:v>
      </x:c>
      <x:c r="I3" s="14" t="str">
        <x:v>Attainable gust lower</x:v>
      </x:c>
      <x:c r="J3" s="14" t="str">
        <x:v>Combined upper</x:v>
      </x:c>
      <x:c r="K3" s="14" t="str">
        <x:v>Combined lower</x:v>
      </x:c>
      <x:c r="M3" s="23" t="str">
        <x:v>Vs+ [KEAS]</x:v>
      </x:c>
      <x:c r="N3" t="n">
        <x:v>47.3853917021513</x:v>
      </x:c>
      <x:c r="P3" s="14" t="str">
        <x:v>V [KEAS]</x:v>
      </x:c>
      <x:c r="Q3" s="14" t="str">
        <x:v>Combined upper</x:v>
      </x:c>
      <x:c r="R3" s="14" t="str">
        <x:v>Combined lower</x:v>
      </x:c>
      <x:c r="S3" s="14" t="str">
        <x:v>Maneuver upper</x:v>
      </x:c>
      <x:c r="T3" s="14" t="str">
        <x:v>Maneuver lower</x:v>
      </x:c>
      <x:c r="U3" s="14" t="str">
        <x:v>Raw gust upper</x:v>
      </x:c>
      <x:c r="V3" s="14" t="str">
        <x:v>Raw gust lower</x:v>
      </x:c>
    </x:row>
    <x:row r="4">
      <x:c r="A4" s="26" t="n">
        <x:v>0</x:v>
      </x:c>
      <x:c r="B4" s="26" t="n">
        <x:f>(A4/$N$3)^2</x:f>
        <x:v>0</x:v>
      </x:c>
      <x:c r="C4" s="26" t="n">
        <x:f>0-(A4/$N$4)^2</x:f>
        <x:v>0</x:v>
      </x:c>
      <x:c r="D4" s="26" t="n">
        <x:f>MIN(B4,$N$5)</x:f>
        <x:v>0</x:v>
      </x:c>
      <x:c r="E4" s="26" t="n">
        <x:f>IF(A4&lt;=$N$7,MAX(C4,$N$6),MAX(C4,$N$6*($N$8-A4)/($N$8-$N$7)))</x:f>
        <x:v>0</x:v>
      </x:c>
      <x:c r="F4" s="26" t="n">
        <x:f>IF(A4&lt;=$N$7,1+$N$9*A4/$N$7,$N$10+(A4-$N$7)*($N$12-$N$10)/($N$8-$N$7))</x:f>
        <x:v>1</x:v>
      </x:c>
      <x:c r="G4" s="26" t="n">
        <x:f>IF(A4&lt;=$N$7,1-$N$9*A4/$N$7,$N$11+(A4-$N$7)*($N$13-$N$11)/($N$8-$N$7))</x:f>
        <x:v>1</x:v>
      </x:c>
      <x:c r="H4" s="26" t="n">
        <x:f>MIN(F4,B4)</x:f>
        <x:v>0</x:v>
      </x:c>
      <x:c r="I4" s="26" t="n">
        <x:f>MAX(G4,C4)</x:f>
        <x:v>1</x:v>
      </x:c>
      <x:c r="J4" s="26" t="n">
        <x:f>MAX(D4,H4)</x:f>
        <x:v>0</x:v>
      </x:c>
      <x:c r="K4" s="26" t="n">
        <x:f>MIN(E4,I4)</x:f>
        <x:v>0</x:v>
      </x:c>
      <x:c r="M4" s="23" t="str">
        <x:v>Vs- [KEAS]</x:v>
      </x:c>
      <x:c r="N4" t="n">
        <x:v>49.97118635546454</x:v>
      </x:c>
      <x:c r="P4" s="26" t="n">
        <x:v>0</x:v>
      </x:c>
      <x:c r="Q4" s="26" t="n">
        <x:v>0</x:v>
      </x:c>
      <x:c r="R4" s="26" t="n">
        <x:v>0</x:v>
      </x:c>
      <x:c r="S4" s="26" t="n">
        <x:v>0</x:v>
      </x:c>
      <x:c r="T4" s="26" t="n">
        <x:v>0</x:v>
      </x:c>
      <x:c r="U4" s="26" t="n">
        <x:v>1</x:v>
      </x:c>
      <x:c r="V4" s="26" t="n">
        <x:v>1</x:v>
      </x:c>
    </x:row>
    <x:row r="5">
      <x:c r="A5" s="26" t="n">
        <x:v>0.5</x:v>
      </x:c>
      <x:c r="B5" s="26" t="n">
        <x:f>(A5/$N$3)^2</x:f>
        <x:v>0.00011133995942372796</x:v>
      </x:c>
      <x:c r="C5" s="26" t="n">
        <x:f>0-(A5/$N$4)^2</x:f>
        <x:v>-0.00010011535428188027</x:v>
      </x:c>
      <x:c r="D5" s="26" t="n">
        <x:f>MIN(B5,$N$5)</x:f>
        <x:v>0.00011133995942372796</x:v>
      </x:c>
      <x:c r="E5" s="26" t="n">
        <x:f>IF(A5&lt;=$N$7,MAX(C5,$N$6),MAX(C5,$N$6*($N$8-A5)/($N$8-$N$7)))</x:f>
        <x:v>-0.00010011535428188027</x:v>
      </x:c>
      <x:c r="F5" s="26" t="n">
        <x:f>IF(A5&lt;=$N$7,1+$N$9*A5/$N$7,$N$10+(A5-$N$7)*($N$12-$N$10)/($N$8-$N$7))</x:f>
        <x:v>1.0203893320070403</x:v>
      </x:c>
      <x:c r="G5" s="26" t="n">
        <x:f>IF(A5&lt;=$N$7,1-$N$9*A5/$N$7,$N$11+(A5-$N$7)*($N$13-$N$11)/($N$8-$N$7))</x:f>
        <x:v>0.9796106679929596</x:v>
      </x:c>
      <x:c r="H5" s="26" t="n">
        <x:f>MIN(F5,B5)</x:f>
        <x:v>0.00011133995942372796</x:v>
      </x:c>
      <x:c r="I5" s="26" t="n">
        <x:f>MAX(G5,C5)</x:f>
        <x:v>0.9796106679929596</x:v>
      </x:c>
      <x:c r="J5" s="26" t="n">
        <x:f>MAX(D5,H5)</x:f>
        <x:v>0.00011133995942372796</x:v>
      </x:c>
      <x:c r="K5" s="26" t="n">
        <x:f>MIN(E5,I5)</x:f>
        <x:v>-0.00010011535428188027</x:v>
      </x:c>
      <x:c r="M5" s="23" t="str">
        <x:v>nlim+</x:v>
      </x:c>
      <x:c r="N5" t="n">
        <x:v>3.8</x:v>
      </x:c>
      <x:c r="P5" s="26" t="n">
        <x:v>0.5</x:v>
      </x:c>
      <x:c r="Q5" s="26" t="n">
        <x:v>0.00011133995942372796</x:v>
      </x:c>
      <x:c r="R5" s="26" t="n">
        <x:v>-0.00010011535428188027</x:v>
      </x:c>
      <x:c r="S5" s="26" t="n">
        <x:v>0.00011133995942372796</x:v>
      </x:c>
      <x:c r="T5" s="26" t="n">
        <x:v>-0.00010011535428188027</x:v>
      </x:c>
      <x:c r="U5" s="26" t="n">
        <x:v>1.0203893320070403</x:v>
      </x:c>
      <x:c r="V5" s="26" t="n">
        <x:v>0.9796106679929596</x:v>
      </x:c>
    </x:row>
    <x:row r="6">
      <x:c r="A6" s="26" t="n">
        <x:v>1</x:v>
      </x:c>
      <x:c r="B6" s="26" t="n">
        <x:f>(A6/$N$3)^2</x:f>
        <x:v>0.00044535983769491185</x:v>
      </x:c>
      <x:c r="C6" s="26" t="n">
        <x:f>0-(A6/$N$4)^2</x:f>
        <x:v>-0.00040046141712752107</x:v>
      </x:c>
      <x:c r="D6" s="26" t="n">
        <x:f>MIN(B6,$N$5)</x:f>
        <x:v>0.00044535983769491185</x:v>
      </x:c>
      <x:c r="E6" s="26" t="n">
        <x:f>IF(A6&lt;=$N$7,MAX(C6,$N$6),MAX(C6,$N$6*($N$8-A6)/($N$8-$N$7)))</x:f>
        <x:v>-0.00040046141712752107</x:v>
      </x:c>
      <x:c r="F6" s="26" t="n">
        <x:f>IF(A6&lt;=$N$7,1+$N$9*A6/$N$7,$N$10+(A6-$N$7)*($N$12-$N$10)/($N$8-$N$7))</x:f>
        <x:v>1.0407786640140808</x:v>
      </x:c>
      <x:c r="G6" s="26" t="n">
        <x:f>IF(A6&lt;=$N$7,1-$N$9*A6/$N$7,$N$11+(A6-$N$7)*($N$13-$N$11)/($N$8-$N$7))</x:f>
        <x:v>0.9592213359859192</x:v>
      </x:c>
      <x:c r="H6" s="26" t="n">
        <x:f>MIN(F6,B6)</x:f>
        <x:v>0.00044535983769491185</x:v>
      </x:c>
      <x:c r="I6" s="26" t="n">
        <x:f>MAX(G6,C6)</x:f>
        <x:v>0.9592213359859192</x:v>
      </x:c>
      <x:c r="J6" s="26" t="n">
        <x:f>MAX(D6,H6)</x:f>
        <x:v>0.00044535983769491185</x:v>
      </x:c>
      <x:c r="K6" s="26" t="n">
        <x:f>MIN(E6,I6)</x:f>
        <x:v>-0.00040046141712752107</x:v>
      </x:c>
      <x:c r="M6" s="23" t="str">
        <x:v>nlim-</x:v>
      </x:c>
      <x:c r="N6" t="n">
        <x:v>-1.52</x:v>
      </x:c>
      <x:c r="P6" s="26" t="n">
        <x:v>1</x:v>
      </x:c>
      <x:c r="Q6" s="26" t="n">
        <x:v>0.00044535983769491185</x:v>
      </x:c>
      <x:c r="R6" s="26" t="n">
        <x:v>-0.00040046141712752107</x:v>
      </x:c>
      <x:c r="S6" s="26" t="n">
        <x:v>0.00044535983769491185</x:v>
      </x:c>
      <x:c r="T6" s="26" t="n">
        <x:v>-0.00040046141712752107</x:v>
      </x:c>
      <x:c r="U6" s="26" t="n">
        <x:v>1.0407786640140808</x:v>
      </x:c>
      <x:c r="V6" s="26" t="n">
        <x:v>0.9592213359859192</x:v>
      </x:c>
    </x:row>
    <x:row r="7">
      <x:c r="A7" s="26" t="n">
        <x:v>1.5</x:v>
      </x:c>
      <x:c r="B7" s="26" t="n">
        <x:f>(A7/$N$3)^2</x:f>
        <x:v>0.0010020596348135518</x:v>
      </x:c>
      <x:c r="C7" s="26" t="n">
        <x:f>0-(A7/$N$4)^2</x:f>
        <x:v>-0.0009010381885369226</x:v>
      </x:c>
      <x:c r="D7" s="26" t="n">
        <x:f>MIN(B7,$N$5)</x:f>
        <x:v>0.0010020596348135518</x:v>
      </x:c>
      <x:c r="E7" s="26" t="n">
        <x:f>IF(A7&lt;=$N$7,MAX(C7,$N$6),MAX(C7,$N$6*($N$8-A7)/($N$8-$N$7)))</x:f>
        <x:v>-0.0009010381885369226</x:v>
      </x:c>
      <x:c r="F7" s="26" t="n">
        <x:f>IF(A7&lt;=$N$7,1+$N$9*A7/$N$7,$N$10+(A7-$N$7)*($N$12-$N$10)/($N$8-$N$7))</x:f>
        <x:v>1.061167996021121</x:v>
      </x:c>
      <x:c r="G7" s="26" t="n">
        <x:f>IF(A7&lt;=$N$7,1-$N$9*A7/$N$7,$N$11+(A7-$N$7)*($N$13-$N$11)/($N$8-$N$7))</x:f>
        <x:v>0.9388320039788789</x:v>
      </x:c>
      <x:c r="H7" s="26" t="n">
        <x:f>MIN(F7,B7)</x:f>
        <x:v>0.0010020596348135518</x:v>
      </x:c>
      <x:c r="I7" s="26" t="n">
        <x:f>MAX(G7,C7)</x:f>
        <x:v>0.9388320039788789</x:v>
      </x:c>
      <x:c r="J7" s="26" t="n">
        <x:f>MAX(D7,H7)</x:f>
        <x:v>0.0010020596348135518</x:v>
      </x:c>
      <x:c r="K7" s="26" t="n">
        <x:f>MIN(E7,I7)</x:f>
        <x:v>-0.0009010381885369226</x:v>
      </x:c>
      <x:c r="M7" s="23" t="str">
        <x:v>VC [KEAS]</x:v>
      </x:c>
      <x:c r="N7" t="n">
        <x:v>69.88565097458304</x:v>
      </x:c>
      <x:c r="P7" s="26" t="n">
        <x:v>1.5</x:v>
      </x:c>
      <x:c r="Q7" s="26" t="n">
        <x:v>0.0010020596348135518</x:v>
      </x:c>
      <x:c r="R7" s="26" t="n">
        <x:v>-0.0009010381885369226</x:v>
      </x:c>
      <x:c r="S7" s="26" t="n">
        <x:v>0.0010020596348135518</x:v>
      </x:c>
      <x:c r="T7" s="26" t="n">
        <x:v>-0.0009010381885369226</x:v>
      </x:c>
      <x:c r="U7" s="26" t="n">
        <x:v>1.061167996021121</x:v>
      </x:c>
      <x:c r="V7" s="26" t="n">
        <x:v>0.9388320039788789</x:v>
      </x:c>
    </x:row>
    <x:row r="8">
      <x:c r="A8" s="26" t="n">
        <x:v>2</x:v>
      </x:c>
      <x:c r="B8" s="26" t="n">
        <x:f>(A8/$N$3)^2</x:f>
        <x:v>0.0017814393507796474</x:v>
      </x:c>
      <x:c r="C8" s="26" t="n">
        <x:f>0-(A8/$N$4)^2</x:f>
        <x:v>-0.0016018456685100843</x:v>
      </x:c>
      <x:c r="D8" s="26" t="n">
        <x:f>MIN(B8,$N$5)</x:f>
        <x:v>0.0017814393507796474</x:v>
      </x:c>
      <x:c r="E8" s="26" t="n">
        <x:f>IF(A8&lt;=$N$7,MAX(C8,$N$6),MAX(C8,$N$6*($N$8-A8)/($N$8-$N$7)))</x:f>
        <x:v>-0.0016018456685100843</x:v>
      </x:c>
      <x:c r="F8" s="26" t="n">
        <x:f>IF(A8&lt;=$N$7,1+$N$9*A8/$N$7,$N$10+(A8-$N$7)*($N$12-$N$10)/($N$8-$N$7))</x:f>
        <x:v>1.0815573280281616</x:v>
      </x:c>
      <x:c r="G8" s="26" t="n">
        <x:f>IF(A8&lt;=$N$7,1-$N$9*A8/$N$7,$N$11+(A8-$N$7)*($N$13-$N$11)/($N$8-$N$7))</x:f>
        <x:v>0.9184426719718385</x:v>
      </x:c>
      <x:c r="H8" s="26" t="n">
        <x:f>MIN(F8,B8)</x:f>
        <x:v>0.0017814393507796474</x:v>
      </x:c>
      <x:c r="I8" s="26" t="n">
        <x:f>MAX(G8,C8)</x:f>
        <x:v>0.9184426719718385</x:v>
      </x:c>
      <x:c r="J8" s="26" t="n">
        <x:f>MAX(D8,H8)</x:f>
        <x:v>0.0017814393507796474</x:v>
      </x:c>
      <x:c r="K8" s="26" t="n">
        <x:f>MIN(E8,I8)</x:f>
        <x:v>-0.0016018456685100843</x:v>
      </x:c>
      <x:c r="M8" s="23" t="str">
        <x:v>VD [KEAS]</x:v>
      </x:c>
      <x:c r="N8" t="n">
        <x:v>87.27762745041773</x:v>
      </x:c>
      <x:c r="P8" s="26" t="n">
        <x:v>2</x:v>
      </x:c>
      <x:c r="Q8" s="26" t="n">
        <x:v>0.0017814393507796474</x:v>
      </x:c>
      <x:c r="R8" s="26" t="n">
        <x:v>-0.0016018456685100843</x:v>
      </x:c>
      <x:c r="S8" s="26" t="n">
        <x:v>0.0017814393507796474</x:v>
      </x:c>
      <x:c r="T8" s="26" t="n">
        <x:v>-0.0016018456685100843</x:v>
      </x:c>
      <x:c r="U8" s="26" t="n">
        <x:v>1.0815573280281616</x:v>
      </x:c>
      <x:c r="V8" s="26" t="n">
        <x:v>0.9184426719718385</x:v>
      </x:c>
    </x:row>
    <x:row r="9">
      <x:c r="A9" s="26" t="n">
        <x:v>2.5</x:v>
      </x:c>
      <x:c r="B9" s="26" t="n">
        <x:f>(A9/$N$3)^2</x:f>
        <x:v>0.0027834989855931988</x:v>
      </x:c>
      <x:c r="C9" s="26" t="n">
        <x:f>0-(A9/$N$4)^2</x:f>
        <x:v>-0.002502883857047007</x:v>
      </x:c>
      <x:c r="D9" s="26" t="n">
        <x:f>MIN(B9,$N$5)</x:f>
        <x:v>0.0027834989855931988</x:v>
      </x:c>
      <x:c r="E9" s="26" t="n">
        <x:f>IF(A9&lt;=$N$7,MAX(C9,$N$6),MAX(C9,$N$6*($N$8-A9)/($N$8-$N$7)))</x:f>
        <x:v>-0.002502883857047007</x:v>
      </x:c>
      <x:c r="F9" s="26" t="n">
        <x:f>IF(A9&lt;=$N$7,1+$N$9*A9/$N$7,$N$10+(A9-$N$7)*($N$12-$N$10)/($N$8-$N$7))</x:f>
        <x:v>1.101946660035202</x:v>
      </x:c>
      <x:c r="G9" s="26" t="n">
        <x:f>IF(A9&lt;=$N$7,1-$N$9*A9/$N$7,$N$11+(A9-$N$7)*($N$13-$N$11)/($N$8-$N$7))</x:f>
        <x:v>0.8980533399647981</x:v>
      </x:c>
      <x:c r="H9" s="26" t="n">
        <x:f>MIN(F9,B9)</x:f>
        <x:v>0.0027834989855931988</x:v>
      </x:c>
      <x:c r="I9" s="26" t="n">
        <x:f>MAX(G9,C9)</x:f>
        <x:v>0.8980533399647981</x:v>
      </x:c>
      <x:c r="J9" s="26" t="n">
        <x:f>MAX(D9,H9)</x:f>
        <x:v>0.0027834989855931988</x:v>
      </x:c>
      <x:c r="K9" s="26" t="n">
        <x:f>MIN(E9,I9)</x:f>
        <x:v>-0.002502883857047007</x:v>
      </x:c>
      <x:c r="M9" s="23" t="str">
        <x:v>dN_C</x:v>
      </x:c>
      <x:c r="N9" t="n">
        <x:v>2.849843480497838</x:v>
      </x:c>
      <x:c r="P9" s="26" t="n">
        <x:v>2.5</x:v>
      </x:c>
      <x:c r="Q9" s="26" t="n">
        <x:v>0.0027834989855931988</x:v>
      </x:c>
      <x:c r="R9" s="26" t="n">
        <x:v>-0.002502883857047007</x:v>
      </x:c>
      <x:c r="S9" s="26" t="n">
        <x:v>0.0027834989855931988</x:v>
      </x:c>
      <x:c r="T9" s="26" t="n">
        <x:v>-0.002502883857047007</x:v>
      </x:c>
      <x:c r="U9" s="26" t="n">
        <x:v>1.101946660035202</x:v>
      </x:c>
      <x:c r="V9" s="26" t="n">
        <x:v>0.8980533399647981</x:v>
      </x:c>
    </x:row>
    <x:row r="10">
      <x:c r="A10" s="26" t="n">
        <x:v>3</x:v>
      </x:c>
      <x:c r="B10" s="26" t="n">
        <x:f>(A10/$N$3)^2</x:f>
        <x:v>0.004008238539254207</x:v>
      </x:c>
      <x:c r="C10" s="26" t="n">
        <x:f>0-(A10/$N$4)^2</x:f>
        <x:v>-0.0036041527541476903</x:v>
      </x:c>
      <x:c r="D10" s="26" t="n">
        <x:f>MIN(B10,$N$5)</x:f>
        <x:v>0.004008238539254207</x:v>
      </x:c>
      <x:c r="E10" s="26" t="n">
        <x:f>IF(A10&lt;=$N$7,MAX(C10,$N$6),MAX(C10,$N$6*($N$8-A10)/($N$8-$N$7)))</x:f>
        <x:v>-0.0036041527541476903</x:v>
      </x:c>
      <x:c r="F10" s="26" t="n">
        <x:f>IF(A10&lt;=$N$7,1+$N$9*A10/$N$7,$N$10+(A10-$N$7)*($N$12-$N$10)/($N$8-$N$7))</x:f>
        <x:v>1.1223359920422422</x:v>
      </x:c>
      <x:c r="G10" s="26" t="n">
        <x:f>IF(A10&lt;=$N$7,1-$N$9*A10/$N$7,$N$11+(A10-$N$7)*($N$13-$N$11)/($N$8-$N$7))</x:f>
        <x:v>0.8776640079577577</x:v>
      </x:c>
      <x:c r="H10" s="26" t="n">
        <x:f>MIN(F10,B10)</x:f>
        <x:v>0.004008238539254207</x:v>
      </x:c>
      <x:c r="I10" s="26" t="n">
        <x:f>MAX(G10,C10)</x:f>
        <x:v>0.8776640079577577</x:v>
      </x:c>
      <x:c r="J10" s="26" t="n">
        <x:f>MAX(D10,H10)</x:f>
        <x:v>0.004008238539254207</x:v>
      </x:c>
      <x:c r="K10" s="26" t="n">
        <x:f>MIN(E10,I10)</x:f>
        <x:v>-0.0036041527541476903</x:v>
      </x:c>
      <x:c r="M10" s="23" t="str">
        <x:v>nC+</x:v>
      </x:c>
      <x:c r="N10" t="n">
        <x:v>3.849843480497838</x:v>
      </x:c>
      <x:c r="P10" s="26" t="n">
        <x:v>3</x:v>
      </x:c>
      <x:c r="Q10" s="26" t="n">
        <x:v>0.004008238539254207</x:v>
      </x:c>
      <x:c r="R10" s="26" t="n">
        <x:v>-0.0036041527541476903</x:v>
      </x:c>
      <x:c r="S10" s="26" t="n">
        <x:v>0.004008238539254207</x:v>
      </x:c>
      <x:c r="T10" s="26" t="n">
        <x:v>-0.0036041527541476903</x:v>
      </x:c>
      <x:c r="U10" s="26" t="n">
        <x:v>1.1223359920422422</x:v>
      </x:c>
      <x:c r="V10" s="26" t="n">
        <x:v>0.8776640079577577</x:v>
      </x:c>
    </x:row>
    <x:row r="11">
      <x:c r="A11" s="26" t="n">
        <x:v>3.5</x:v>
      </x:c>
      <x:c r="B11" s="26" t="n">
        <x:f>(A11/$N$3)^2</x:f>
        <x:v>0.005455658011762669</x:v>
      </x:c>
      <x:c r="C11" s="26" t="n">
        <x:f>0-(A11/$N$4)^2</x:f>
        <x:v>-0.004905652359812134</x:v>
      </x:c>
      <x:c r="D11" s="26" t="n">
        <x:f>MIN(B11,$N$5)</x:f>
        <x:v>0.005455658011762669</x:v>
      </x:c>
      <x:c r="E11" s="26" t="n">
        <x:f>IF(A11&lt;=$N$7,MAX(C11,$N$6),MAX(C11,$N$6*($N$8-A11)/($N$8-$N$7)))</x:f>
        <x:v>-0.004905652359812134</x:v>
      </x:c>
      <x:c r="F11" s="26" t="n">
        <x:f>IF(A11&lt;=$N$7,1+$N$9*A11/$N$7,$N$10+(A11-$N$7)*($N$12-$N$10)/($N$8-$N$7))</x:f>
        <x:v>1.1427253240492827</x:v>
      </x:c>
      <x:c r="G11" s="26" t="n">
        <x:f>IF(A11&lt;=$N$7,1-$N$9*A11/$N$7,$N$11+(A11-$N$7)*($N$13-$N$11)/($N$8-$N$7))</x:f>
        <x:v>0.8572746759507173</x:v>
      </x:c>
      <x:c r="H11" s="26" t="n">
        <x:f>MIN(F11,B11)</x:f>
        <x:v>0.005455658011762669</x:v>
      </x:c>
      <x:c r="I11" s="26" t="n">
        <x:f>MAX(G11,C11)</x:f>
        <x:v>0.8572746759507173</x:v>
      </x:c>
      <x:c r="J11" s="26" t="n">
        <x:f>MAX(D11,H11)</x:f>
        <x:v>0.005455658011762669</x:v>
      </x:c>
      <x:c r="K11" s="26" t="n">
        <x:f>MIN(E11,I11)</x:f>
        <x:v>-0.004905652359812134</x:v>
      </x:c>
      <x:c r="M11" s="23" t="str">
        <x:v>nC-</x:v>
      </x:c>
      <x:c r="N11" t="n">
        <x:v>-1.8498434804978379</x:v>
      </x:c>
      <x:c r="P11" s="26" t="n">
        <x:v>3.5</x:v>
      </x:c>
      <x:c r="Q11" s="26" t="n">
        <x:v>0.005455658011762669</x:v>
      </x:c>
      <x:c r="R11" s="26" t="n">
        <x:v>-0.004905652359812134</x:v>
      </x:c>
      <x:c r="S11" s="26" t="n">
        <x:v>0.005455658011762669</x:v>
      </x:c>
      <x:c r="T11" s="26" t="n">
        <x:v>-0.004905652359812134</x:v>
      </x:c>
      <x:c r="U11" s="26" t="n">
        <x:v>1.1427253240492827</x:v>
      </x:c>
      <x:c r="V11" s="26" t="n">
        <x:v>0.8572746759507173</x:v>
      </x:c>
    </x:row>
    <x:row r="12">
      <x:c r="A12" s="26" t="n">
        <x:v>4</x:v>
      </x:c>
      <x:c r="B12" s="26" t="n">
        <x:f>(A12/$N$3)^2</x:f>
        <x:v>0.00712575740311859</x:v>
      </x:c>
      <x:c r="C12" s="26" t="n">
        <x:f>0-(A12/$N$4)^2</x:f>
        <x:v>-0.006407382674040337</x:v>
      </x:c>
      <x:c r="D12" s="26" t="n">
        <x:f>MIN(B12,$N$5)</x:f>
        <x:v>0.00712575740311859</x:v>
      </x:c>
      <x:c r="E12" s="26" t="n">
        <x:f>IF(A12&lt;=$N$7,MAX(C12,$N$6),MAX(C12,$N$6*($N$8-A12)/($N$8-$N$7)))</x:f>
        <x:v>-0.006407382674040337</x:v>
      </x:c>
      <x:c r="F12" s="26" t="n">
        <x:f>IF(A12&lt;=$N$7,1+$N$9*A12/$N$7,$N$10+(A12-$N$7)*($N$12-$N$10)/($N$8-$N$7))</x:f>
        <x:v>1.163114656056323</x:v>
      </x:c>
      <x:c r="G12" s="26" t="n">
        <x:f>IF(A12&lt;=$N$7,1-$N$9*A12/$N$7,$N$11+(A12-$N$7)*($N$13-$N$11)/($N$8-$N$7))</x:f>
        <x:v>0.836885343943677</x:v>
      </x:c>
      <x:c r="H12" s="26" t="n">
        <x:f>MIN(F12,B12)</x:f>
        <x:v>0.00712575740311859</x:v>
      </x:c>
      <x:c r="I12" s="26" t="n">
        <x:f>MAX(G12,C12)</x:f>
        <x:v>0.836885343943677</x:v>
      </x:c>
      <x:c r="J12" s="26" t="n">
        <x:f>MAX(D12,H12)</x:f>
        <x:v>0.00712575740311859</x:v>
      </x:c>
      <x:c r="K12" s="26" t="n">
        <x:f>MIN(E12,I12)</x:f>
        <x:v>-0.006407382674040337</x:v>
      </x:c>
      <x:c r="M12" s="23" t="str">
        <x:v>nD+</x:v>
      </x:c>
      <x:c r="N12" t="n">
        <x:v>2.7795325228733487</x:v>
      </x:c>
      <x:c r="P12" s="26" t="n">
        <x:v>4</x:v>
      </x:c>
      <x:c r="Q12" s="26" t="n">
        <x:v>0.00712575740311859</x:v>
      </x:c>
      <x:c r="R12" s="26" t="n">
        <x:v>-0.006407382674040337</x:v>
      </x:c>
      <x:c r="S12" s="26" t="n">
        <x:v>0.00712575740311859</x:v>
      </x:c>
      <x:c r="T12" s="26" t="n">
        <x:v>-0.006407382674040337</x:v>
      </x:c>
      <x:c r="U12" s="26" t="n">
        <x:v>1.163114656056323</x:v>
      </x:c>
      <x:c r="V12" s="26" t="n">
        <x:v>0.836885343943677</x:v>
      </x:c>
    </x:row>
    <x:row r="13">
      <x:c r="A13" s="26" t="n">
        <x:v>4.5</x:v>
      </x:c>
      <x:c r="B13" s="26" t="n">
        <x:f>(A13/$N$3)^2</x:f>
        <x:v>0.009018536713321966</x:v>
      </x:c>
      <x:c r="C13" s="26" t="n">
        <x:f>0-(A13/$N$4)^2</x:f>
        <x:v>-0.008109343696832302</x:v>
      </x:c>
      <x:c r="D13" s="26" t="n">
        <x:f>MIN(B13,$N$5)</x:f>
        <x:v>0.009018536713321966</x:v>
      </x:c>
      <x:c r="E13" s="26" t="n">
        <x:f>IF(A13&lt;=$N$7,MAX(C13,$N$6),MAX(C13,$N$6*($N$8-A13)/($N$8-$N$7)))</x:f>
        <x:v>-0.008109343696832302</x:v>
      </x:c>
      <x:c r="F13" s="26" t="n">
        <x:f>IF(A13&lt;=$N$7,1+$N$9*A13/$N$7,$N$10+(A13-$N$7)*($N$12-$N$10)/($N$8-$N$7))</x:f>
        <x:v>1.1835039880633635</x:v>
      </x:c>
      <x:c r="G13" s="26" t="n">
        <x:f>IF(A13&lt;=$N$7,1-$N$9*A13/$N$7,$N$11+(A13-$N$7)*($N$13-$N$11)/($N$8-$N$7))</x:f>
        <x:v>0.8164960119366366</x:v>
      </x:c>
      <x:c r="H13" s="26" t="n">
        <x:f>MIN(F13,B13)</x:f>
        <x:v>0.009018536713321966</x:v>
      </x:c>
      <x:c r="I13" s="26" t="n">
        <x:f>MAX(G13,C13)</x:f>
        <x:v>0.8164960119366366</x:v>
      </x:c>
      <x:c r="J13" s="26" t="n">
        <x:f>MAX(D13,H13)</x:f>
        <x:v>0.009018536713321966</x:v>
      </x:c>
      <x:c r="K13" s="26" t="n">
        <x:f>MIN(E13,I13)</x:f>
        <x:v>-0.008109343696832302</x:v>
      </x:c>
      <x:c r="M13" s="23" t="str">
        <x:v>nD-</x:v>
      </x:c>
      <x:c r="N13" t="n">
        <x:v>-0.7795325228733485</x:v>
      </x:c>
      <x:c r="P13" s="26" t="n">
        <x:v>4.5</x:v>
      </x:c>
      <x:c r="Q13" s="26" t="n">
        <x:v>0.009018536713321966</x:v>
      </x:c>
      <x:c r="R13" s="26" t="n">
        <x:v>-0.008109343696832302</x:v>
      </x:c>
      <x:c r="S13" s="26" t="n">
        <x:v>0.009018536713321966</x:v>
      </x:c>
      <x:c r="T13" s="26" t="n">
        <x:v>-0.008109343696832302</x:v>
      </x:c>
      <x:c r="U13" s="26" t="n">
        <x:v>1.1835039880633635</x:v>
      </x:c>
      <x:c r="V13" s="26" t="n">
        <x:v>0.8164960119366366</x:v>
      </x:c>
    </x:row>
    <x:row r="14">
      <x:c r="A14" s="26" t="n">
        <x:v>5</x:v>
      </x:c>
      <x:c r="B14" s="26" t="n">
        <x:f>(A14/$N$3)^2</x:f>
        <x:v>0.011133995942372795</x:v>
      </x:c>
      <x:c r="C14" s="26" t="n">
        <x:f>0-(A14/$N$4)^2</x:f>
        <x:v>-0.010011535428188029</x:v>
      </x:c>
      <x:c r="D14" s="26" t="n">
        <x:f>MIN(B14,$N$5)</x:f>
        <x:v>0.011133995942372795</x:v>
      </x:c>
      <x:c r="E14" s="26" t="n">
        <x:f>IF(A14&lt;=$N$7,MAX(C14,$N$6),MAX(C14,$N$6*($N$8-A14)/($N$8-$N$7)))</x:f>
        <x:v>-0.010011535428188029</x:v>
      </x:c>
      <x:c r="F14" s="26" t="n">
        <x:f>IF(A14&lt;=$N$7,1+$N$9*A14/$N$7,$N$10+(A14-$N$7)*($N$12-$N$10)/($N$8-$N$7))</x:f>
        <x:v>1.2038933200704038</x:v>
      </x:c>
      <x:c r="G14" s="26" t="n">
        <x:f>IF(A14&lt;=$N$7,1-$N$9*A14/$N$7,$N$11+(A14-$N$7)*($N$13-$N$11)/($N$8-$N$7))</x:f>
        <x:v>0.7961066799295962</x:v>
      </x:c>
      <x:c r="H14" s="26" t="n">
        <x:f>MIN(F14,B14)</x:f>
        <x:v>0.011133995942372795</x:v>
      </x:c>
      <x:c r="I14" s="26" t="n">
        <x:f>MAX(G14,C14)</x:f>
        <x:v>0.7961066799295962</x:v>
      </x:c>
      <x:c r="J14" s="26" t="n">
        <x:f>MAX(D14,H14)</x:f>
        <x:v>0.011133995942372795</x:v>
      </x:c>
      <x:c r="K14" s="26" t="n">
        <x:f>MIN(E14,I14)</x:f>
        <x:v>-0.010011535428188029</x:v>
      </x:c>
      <x:c r="P14" s="26" t="n">
        <x:v>5</x:v>
      </x:c>
      <x:c r="Q14" s="26" t="n">
        <x:v>0.011133995942372795</x:v>
      </x:c>
      <x:c r="R14" s="26" t="n">
        <x:v>-0.010011535428188029</x:v>
      </x:c>
      <x:c r="S14" s="26" t="n">
        <x:v>0.011133995942372795</x:v>
      </x:c>
      <x:c r="T14" s="26" t="n">
        <x:v>-0.010011535428188029</x:v>
      </x:c>
      <x:c r="U14" s="26" t="n">
        <x:v>1.2038933200704038</x:v>
      </x:c>
      <x:c r="V14" s="26" t="n">
        <x:v>0.7961066799295962</x:v>
      </x:c>
    </x:row>
    <x:row r="15">
      <x:c r="A15" s="26" t="n">
        <x:v>5.5</x:v>
      </x:c>
      <x:c r="B15" s="26" t="n">
        <x:f>(A15/$N$3)^2</x:f>
        <x:v>0.013472135090271084</x:v>
      </x:c>
      <x:c r="C15" s="26" t="n">
        <x:f>0-(A15/$N$4)^2</x:f>
        <x:v>-0.012113957868107515</x:v>
      </x:c>
      <x:c r="D15" s="26" t="n">
        <x:f>MIN(B15,$N$5)</x:f>
        <x:v>0.013472135090271084</x:v>
      </x:c>
      <x:c r="E15" s="26" t="n">
        <x:f>IF(A15&lt;=$N$7,MAX(C15,$N$6),MAX(C15,$N$6*($N$8-A15)/($N$8-$N$7)))</x:f>
        <x:v>-0.012113957868107515</x:v>
      </x:c>
      <x:c r="F15" s="26" t="n">
        <x:f>IF(A15&lt;=$N$7,1+$N$9*A15/$N$7,$N$10+(A15-$N$7)*($N$12-$N$10)/($N$8-$N$7))</x:f>
        <x:v>1.2242826520774441</x:v>
      </x:c>
      <x:c r="G15" s="26" t="n">
        <x:f>IF(A15&lt;=$N$7,1-$N$9*A15/$N$7,$N$11+(A15-$N$7)*($N$13-$N$11)/($N$8-$N$7))</x:f>
        <x:v>0.7757173479225559</x:v>
      </x:c>
      <x:c r="H15" s="26" t="n">
        <x:f>MIN(F15,B15)</x:f>
        <x:v>0.013472135090271084</x:v>
      </x:c>
      <x:c r="I15" s="26" t="n">
        <x:f>MAX(G15,C15)</x:f>
        <x:v>0.7757173479225559</x:v>
      </x:c>
      <x:c r="J15" s="26" t="n">
        <x:f>MAX(D15,H15)</x:f>
        <x:v>0.013472135090271084</x:v>
      </x:c>
      <x:c r="K15" s="26" t="n">
        <x:f>MIN(E15,I15)</x:f>
        <x:v>-0.012113957868107515</x:v>
      </x:c>
      <x:c r="P15" s="26" t="n">
        <x:v>5.5</x:v>
      </x:c>
      <x:c r="Q15" s="26" t="n">
        <x:v>0.013472135090271084</x:v>
      </x:c>
      <x:c r="R15" s="26" t="n">
        <x:v>-0.012113957868107515</x:v>
      </x:c>
      <x:c r="S15" s="26" t="n">
        <x:v>0.013472135090271084</x:v>
      </x:c>
      <x:c r="T15" s="26" t="n">
        <x:v>-0.012113957868107515</x:v>
      </x:c>
      <x:c r="U15" s="26" t="n">
        <x:v>1.2242826520774441</x:v>
      </x:c>
      <x:c r="V15" s="26" t="n">
        <x:v>0.7757173479225559</x:v>
      </x:c>
    </x:row>
    <x:row r="16">
      <x:c r="A16" s="26" t="n">
        <x:v>6</x:v>
      </x:c>
      <x:c r="B16" s="26" t="n">
        <x:f>(A16/$N$3)^2</x:f>
        <x:v>0.01603295415701683</x:v>
      </x:c>
      <x:c r="C16" s="26" t="n">
        <x:f>0-(A16/$N$4)^2</x:f>
        <x:v>-0.014416611016590761</x:v>
      </x:c>
      <x:c r="D16" s="26" t="n">
        <x:f>MIN(B16,$N$5)</x:f>
        <x:v>0.01603295415701683</x:v>
      </x:c>
      <x:c r="E16" s="26" t="n">
        <x:f>IF(A16&lt;=$N$7,MAX(C16,$N$6),MAX(C16,$N$6*($N$8-A16)/($N$8-$N$7)))</x:f>
        <x:v>-0.014416611016590761</x:v>
      </x:c>
      <x:c r="F16" s="26" t="n">
        <x:f>IF(A16&lt;=$N$7,1+$N$9*A16/$N$7,$N$10+(A16-$N$7)*($N$12-$N$10)/($N$8-$N$7))</x:f>
        <x:v>1.2446719840844847</x:v>
      </x:c>
      <x:c r="G16" s="26" t="n">
        <x:f>IF(A16&lt;=$N$7,1-$N$9*A16/$N$7,$N$11+(A16-$N$7)*($N$13-$N$11)/($N$8-$N$7))</x:f>
        <x:v>0.7553280159155155</x:v>
      </x:c>
      <x:c r="H16" s="26" t="n">
        <x:f>MIN(F16,B16)</x:f>
        <x:v>0.01603295415701683</x:v>
      </x:c>
      <x:c r="I16" s="26" t="n">
        <x:f>MAX(G16,C16)</x:f>
        <x:v>0.7553280159155155</x:v>
      </x:c>
      <x:c r="J16" s="26" t="n">
        <x:f>MAX(D16,H16)</x:f>
        <x:v>0.01603295415701683</x:v>
      </x:c>
      <x:c r="K16" s="26" t="n">
        <x:f>MIN(E16,I16)</x:f>
        <x:v>-0.014416611016590761</x:v>
      </x:c>
      <x:c r="P16" s="26" t="n">
        <x:v>6</x:v>
      </x:c>
      <x:c r="Q16" s="26" t="n">
        <x:v>0.01603295415701683</x:v>
      </x:c>
      <x:c r="R16" s="26" t="n">
        <x:v>-0.014416611016590761</x:v>
      </x:c>
      <x:c r="S16" s="26" t="n">
        <x:v>0.01603295415701683</x:v>
      </x:c>
      <x:c r="T16" s="26" t="n">
        <x:v>-0.014416611016590761</x:v>
      </x:c>
      <x:c r="U16" s="26" t="n">
        <x:v>1.2446719840844847</x:v>
      </x:c>
      <x:c r="V16" s="26" t="n">
        <x:v>0.7553280159155153</x:v>
      </x:c>
    </x:row>
    <x:row r="17">
      <x:c r="A17" s="26" t="n">
        <x:v>6.5</x:v>
      </x:c>
      <x:c r="B17" s="26" t="n">
        <x:f>(A17/$N$3)^2</x:f>
        <x:v>0.01881645314261003</x:v>
      </x:c>
      <x:c r="C17" s="26" t="n">
        <x:f>0-(A17/$N$4)^2</x:f>
        <x:v>-0.01691949487363777</x:v>
      </x:c>
      <x:c r="D17" s="26" t="n">
        <x:f>MIN(B17,$N$5)</x:f>
        <x:v>0.01881645314261003</x:v>
      </x:c>
      <x:c r="E17" s="26" t="n">
        <x:f>IF(A17&lt;=$N$7,MAX(C17,$N$6),MAX(C17,$N$6*($N$8-A17)/($N$8-$N$7)))</x:f>
        <x:v>-0.01691949487363777</x:v>
      </x:c>
      <x:c r="F17" s="26" t="n">
        <x:f>IF(A17&lt;=$N$7,1+$N$9*A17/$N$7,$N$10+(A17-$N$7)*($N$12-$N$10)/($N$8-$N$7))</x:f>
        <x:v>1.265061316091525</x:v>
      </x:c>
      <x:c r="G17" s="26" t="n">
        <x:f>IF(A17&lt;=$N$7,1-$N$9*A17/$N$7,$N$11+(A17-$N$7)*($N$13-$N$11)/($N$8-$N$7))</x:f>
        <x:v>0.734938683908475</x:v>
      </x:c>
      <x:c r="H17" s="26" t="n">
        <x:f>MIN(F17,B17)</x:f>
        <x:v>0.01881645314261003</x:v>
      </x:c>
      <x:c r="I17" s="26" t="n">
        <x:f>MAX(G17,C17)</x:f>
        <x:v>0.734938683908475</x:v>
      </x:c>
      <x:c r="J17" s="26" t="n">
        <x:f>MAX(D17,H17)</x:f>
        <x:v>0.01881645314261003</x:v>
      </x:c>
      <x:c r="K17" s="26" t="n">
        <x:f>MIN(E17,I17)</x:f>
        <x:v>-0.01691949487363777</x:v>
      </x:c>
      <x:c r="P17" s="26" t="n">
        <x:v>6.5</x:v>
      </x:c>
      <x:c r="Q17" s="26" t="n">
        <x:v>0.01881645314261003</x:v>
      </x:c>
      <x:c r="R17" s="26" t="n">
        <x:v>-0.01691949487363777</x:v>
      </x:c>
      <x:c r="S17" s="26" t="n">
        <x:v>0.01881645314261003</x:v>
      </x:c>
      <x:c r="T17" s="26" t="n">
        <x:v>-0.01691949487363777</x:v>
      </x:c>
      <x:c r="U17" s="26" t="n">
        <x:v>1.265061316091525</x:v>
      </x:c>
      <x:c r="V17" s="26" t="n">
        <x:v>0.734938683908475</x:v>
      </x:c>
    </x:row>
    <x:row r="18">
      <x:c r="A18" s="26" t="n">
        <x:v>7</x:v>
      </x:c>
      <x:c r="B18" s="26" t="n">
        <x:f>(A18/$N$3)^2</x:f>
        <x:v>0.021822632047050677</x:v>
      </x:c>
      <x:c r="C18" s="26" t="n">
        <x:f>0-(A18/$N$4)^2</x:f>
        <x:v>-0.019622609439248536</x:v>
      </x:c>
      <x:c r="D18" s="26" t="n">
        <x:f>MIN(B18,$N$5)</x:f>
        <x:v>0.021822632047050677</x:v>
      </x:c>
      <x:c r="E18" s="26" t="n">
        <x:f>IF(A18&lt;=$N$7,MAX(C18,$N$6),MAX(C18,$N$6*($N$8-A18)/($N$8-$N$7)))</x:f>
        <x:v>-0.019622609439248536</x:v>
      </x:c>
      <x:c r="F18" s="26" t="n">
        <x:f>IF(A18&lt;=$N$7,1+$N$9*A18/$N$7,$N$10+(A18-$N$7)*($N$12-$N$10)/($N$8-$N$7))</x:f>
        <x:v>1.2854506480985655</x:v>
      </x:c>
      <x:c r="G18" s="26" t="n">
        <x:f>IF(A18&lt;=$N$7,1-$N$9*A18/$N$7,$N$11+(A18-$N$7)*($N$13-$N$11)/($N$8-$N$7))</x:f>
        <x:v>0.7145493519014346</x:v>
      </x:c>
      <x:c r="H18" s="26" t="n">
        <x:f>MIN(F18,B18)</x:f>
        <x:v>0.021822632047050677</x:v>
      </x:c>
      <x:c r="I18" s="26" t="n">
        <x:f>MAX(G18,C18)</x:f>
        <x:v>0.7145493519014346</x:v>
      </x:c>
      <x:c r="J18" s="26" t="n">
        <x:f>MAX(D18,H18)</x:f>
        <x:v>0.021822632047050677</x:v>
      </x:c>
      <x:c r="K18" s="26" t="n">
        <x:f>MIN(E18,I18)</x:f>
        <x:v>-0.019622609439248536</x:v>
      </x:c>
      <x:c r="P18" s="26" t="n">
        <x:v>7</x:v>
      </x:c>
      <x:c r="Q18" s="26" t="n">
        <x:v>0.021822632047050677</x:v>
      </x:c>
      <x:c r="R18" s="26" t="n">
        <x:v>-0.019622609439248536</x:v>
      </x:c>
      <x:c r="S18" s="26" t="n">
        <x:v>0.021822632047050677</x:v>
      </x:c>
      <x:c r="T18" s="26" t="n">
        <x:v>-0.019622609439248536</x:v>
      </x:c>
      <x:c r="U18" s="26" t="n">
        <x:v>1.2854506480985655</x:v>
      </x:c>
      <x:c r="V18" s="26" t="n">
        <x:v>0.7145493519014346</x:v>
      </x:c>
    </x:row>
    <x:row r="19">
      <x:c r="A19" s="26" t="n">
        <x:v>7.5</x:v>
      </x:c>
      <x:c r="B19" s="26" t="n">
        <x:f>(A19/$N$3)^2</x:f>
        <x:v>0.02505149087033879</x:v>
      </x:c>
      <x:c r="C19" s="26" t="n">
        <x:f>0-(A19/$N$4)^2</x:f>
        <x:v>-0.022525954713423064</x:v>
      </x:c>
      <x:c r="D19" s="26" t="n">
        <x:f>MIN(B19,$N$5)</x:f>
        <x:v>0.02505149087033879</x:v>
      </x:c>
      <x:c r="E19" s="26" t="n">
        <x:f>IF(A19&lt;=$N$7,MAX(C19,$N$6),MAX(C19,$N$6*($N$8-A19)/($N$8-$N$7)))</x:f>
        <x:v>-0.022525954713423064</x:v>
      </x:c>
      <x:c r="F19" s="26" t="n">
        <x:f>IF(A19&lt;=$N$7,1+$N$9*A19/$N$7,$N$10+(A19-$N$7)*($N$12-$N$10)/($N$8-$N$7))</x:f>
        <x:v>1.3058399801056058</x:v>
      </x:c>
      <x:c r="G19" s="26" t="n">
        <x:f>IF(A19&lt;=$N$7,1-$N$9*A19/$N$7,$N$11+(A19-$N$7)*($N$13-$N$11)/($N$8-$N$7))</x:f>
        <x:v>0.6941600198943942</x:v>
      </x:c>
      <x:c r="H19" s="26" t="n">
        <x:f>MIN(F19,B19)</x:f>
        <x:v>0.02505149087033879</x:v>
      </x:c>
      <x:c r="I19" s="26" t="n">
        <x:f>MAX(G19,C19)</x:f>
        <x:v>0.6941600198943942</x:v>
      </x:c>
      <x:c r="J19" s="26" t="n">
        <x:f>MAX(D19,H19)</x:f>
        <x:v>0.02505149087033879</x:v>
      </x:c>
      <x:c r="K19" s="26" t="n">
        <x:f>MIN(E19,I19)</x:f>
        <x:v>-0.022525954713423064</x:v>
      </x:c>
      <x:c r="P19" s="26" t="n">
        <x:v>7.5</x:v>
      </x:c>
      <x:c r="Q19" s="26" t="n">
        <x:v>0.02505149087033879</x:v>
      </x:c>
      <x:c r="R19" s="26" t="n">
        <x:v>-0.022525954713423064</x:v>
      </x:c>
      <x:c r="S19" s="26" t="n">
        <x:v>0.02505149087033879</x:v>
      </x:c>
      <x:c r="T19" s="26" t="n">
        <x:v>-0.022525954713423064</x:v>
      </x:c>
      <x:c r="U19" s="26" t="n">
        <x:v>1.3058399801056058</x:v>
      </x:c>
      <x:c r="V19" s="26" t="n">
        <x:v>0.6941600198943942</x:v>
      </x:c>
    </x:row>
    <x:row r="20">
      <x:c r="A20" s="26" t="n">
        <x:v>8</x:v>
      </x:c>
      <x:c r="B20" s="26" t="n">
        <x:f>(A20/$N$3)^2</x:f>
        <x:v>0.02850302961247436</x:v>
      </x:c>
      <x:c r="C20" s="26" t="n">
        <x:f>0-(A20/$N$4)^2</x:f>
        <x:v>-0.02562953069616135</x:v>
      </x:c>
      <x:c r="D20" s="26" t="n">
        <x:f>MIN(B20,$N$5)</x:f>
        <x:v>0.02850302961247436</x:v>
      </x:c>
      <x:c r="E20" s="26" t="n">
        <x:f>IF(A20&lt;=$N$7,MAX(C20,$N$6),MAX(C20,$N$6*($N$8-A20)/($N$8-$N$7)))</x:f>
        <x:v>-0.02562953069616135</x:v>
      </x:c>
      <x:c r="F20" s="26" t="n">
        <x:f>IF(A20&lt;=$N$7,1+$N$9*A20/$N$7,$N$10+(A20-$N$7)*($N$12-$N$10)/($N$8-$N$7))</x:f>
        <x:v>1.326229312112646</x:v>
      </x:c>
      <x:c r="G20" s="26" t="n">
        <x:f>IF(A20&lt;=$N$7,1-$N$9*A20/$N$7,$N$11+(A20-$N$7)*($N$13-$N$11)/($N$8-$N$7))</x:f>
        <x:v>0.673770687887354</x:v>
      </x:c>
      <x:c r="H20" s="26" t="n">
        <x:f>MIN(F20,B20)</x:f>
        <x:v>0.02850302961247436</x:v>
      </x:c>
      <x:c r="I20" s="26" t="n">
        <x:f>MAX(G20,C20)</x:f>
        <x:v>0.673770687887354</x:v>
      </x:c>
      <x:c r="J20" s="26" t="n">
        <x:f>MAX(D20,H20)</x:f>
        <x:v>0.02850302961247436</x:v>
      </x:c>
      <x:c r="K20" s="26" t="n">
        <x:f>MIN(E20,I20)</x:f>
        <x:v>-0.02562953069616135</x:v>
      </x:c>
      <x:c r="P20" s="26" t="n">
        <x:v>8</x:v>
      </x:c>
      <x:c r="Q20" s="26" t="n">
        <x:v>0.02850302961247436</x:v>
      </x:c>
      <x:c r="R20" s="26" t="n">
        <x:v>-0.02562953069616135</x:v>
      </x:c>
      <x:c r="S20" s="26" t="n">
        <x:v>0.02850302961247436</x:v>
      </x:c>
      <x:c r="T20" s="26" t="n">
        <x:v>-0.02562953069616135</x:v>
      </x:c>
      <x:c r="U20" s="26" t="n">
        <x:v>1.326229312112646</x:v>
      </x:c>
      <x:c r="V20" s="26" t="n">
        <x:v>0.673770687887354</x:v>
      </x:c>
    </x:row>
    <x:row r="21">
      <x:c r="A21" s="26" t="n">
        <x:v>8.5</x:v>
      </x:c>
      <x:c r="B21" s="26" t="n">
        <x:f>(A21/$N$3)^2</x:f>
        <x:v>0.03217724827345738</x:v>
      </x:c>
      <x:c r="C21" s="26" t="n">
        <x:f>0-(A21/$N$4)^2</x:f>
        <x:v>-0.0289333373874634</x:v>
      </x:c>
      <x:c r="D21" s="26" t="n">
        <x:f>MIN(B21,$N$5)</x:f>
        <x:v>0.03217724827345738</x:v>
      </x:c>
      <x:c r="E21" s="26" t="n">
        <x:f>IF(A21&lt;=$N$7,MAX(C21,$N$6),MAX(C21,$N$6*($N$8-A21)/($N$8-$N$7)))</x:f>
        <x:v>-0.0289333373874634</x:v>
      </x:c>
      <x:c r="F21" s="26" t="n">
        <x:f>IF(A21&lt;=$N$7,1+$N$9*A21/$N$7,$N$10+(A21-$N$7)*($N$12-$N$10)/($N$8-$N$7))</x:f>
        <x:v>1.3466186441196866</x:v>
      </x:c>
      <x:c r="G21" s="26" t="n">
        <x:f>IF(A21&lt;=$N$7,1-$N$9*A21/$N$7,$N$11+(A21-$N$7)*($N$13-$N$11)/($N$8-$N$7))</x:f>
        <x:v>0.6533813558803134</x:v>
      </x:c>
      <x:c r="H21" s="26" t="n">
        <x:f>MIN(F21,B21)</x:f>
        <x:v>0.03217724827345738</x:v>
      </x:c>
      <x:c r="I21" s="26" t="n">
        <x:f>MAX(G21,C21)</x:f>
        <x:v>0.6533813558803134</x:v>
      </x:c>
      <x:c r="J21" s="26" t="n">
        <x:f>MAX(D21,H21)</x:f>
        <x:v>0.03217724827345738</x:v>
      </x:c>
      <x:c r="K21" s="26" t="n">
        <x:f>MIN(E21,I21)</x:f>
        <x:v>-0.0289333373874634</x:v>
      </x:c>
      <x:c r="P21" s="26" t="n">
        <x:v>8.5</x:v>
      </x:c>
      <x:c r="Q21" s="26" t="n">
        <x:v>0.03217724827345738</x:v>
      </x:c>
      <x:c r="R21" s="26" t="n">
        <x:v>-0.0289333373874634</x:v>
      </x:c>
      <x:c r="S21" s="26" t="n">
        <x:v>0.03217724827345738</x:v>
      </x:c>
      <x:c r="T21" s="26" t="n">
        <x:v>-0.0289333373874634</x:v>
      </x:c>
      <x:c r="U21" s="26" t="n">
        <x:v>1.3466186441196866</x:v>
      </x:c>
      <x:c r="V21" s="26" t="n">
        <x:v>0.6533813558803134</x:v>
      </x:c>
    </x:row>
    <x:row r="22">
      <x:c r="A22" s="26" t="n">
        <x:v>9</x:v>
      </x:c>
      <x:c r="B22" s="26" t="n">
        <x:f>(A22/$N$3)^2</x:f>
        <x:v>0.036074146853287865</x:v>
      </x:c>
      <x:c r="C22" s="26" t="n">
        <x:f>0-(A22/$N$4)^2</x:f>
        <x:v>-0.03243737478732921</x:v>
      </x:c>
      <x:c r="D22" s="26" t="n">
        <x:f>MIN(B22,$N$5)</x:f>
        <x:v>0.036074146853287865</x:v>
      </x:c>
      <x:c r="E22" s="26" t="n">
        <x:f>IF(A22&lt;=$N$7,MAX(C22,$N$6),MAX(C22,$N$6*($N$8-A22)/($N$8-$N$7)))</x:f>
        <x:v>-0.03243737478732921</x:v>
      </x:c>
      <x:c r="F22" s="26" t="n">
        <x:f>IF(A22&lt;=$N$7,1+$N$9*A22/$N$7,$N$10+(A22-$N$7)*($N$12-$N$10)/($N$8-$N$7))</x:f>
        <x:v>1.3670079761267269</x:v>
      </x:c>
      <x:c r="G22" s="26" t="n">
        <x:f>IF(A22&lt;=$N$7,1-$N$9*A22/$N$7,$N$11+(A22-$N$7)*($N$13-$N$11)/($N$8-$N$7))</x:f>
        <x:v>0.6329920238732731</x:v>
      </x:c>
      <x:c r="H22" s="26" t="n">
        <x:f>MIN(F22,B22)</x:f>
        <x:v>0.036074146853287865</x:v>
      </x:c>
      <x:c r="I22" s="26" t="n">
        <x:f>MAX(G22,C22)</x:f>
        <x:v>0.6329920238732731</x:v>
      </x:c>
      <x:c r="J22" s="26" t="n">
        <x:f>MAX(D22,H22)</x:f>
        <x:v>0.036074146853287865</x:v>
      </x:c>
      <x:c r="K22" s="26" t="n">
        <x:f>MIN(E22,I22)</x:f>
        <x:v>-0.03243737478732921</x:v>
      </x:c>
      <x:c r="P22" s="26" t="n">
        <x:v>9</x:v>
      </x:c>
      <x:c r="Q22" s="26" t="n">
        <x:v>0.036074146853287865</x:v>
      </x:c>
      <x:c r="R22" s="26" t="n">
        <x:v>-0.03243737478732921</x:v>
      </x:c>
      <x:c r="S22" s="26" t="n">
        <x:v>0.036074146853287865</x:v>
      </x:c>
      <x:c r="T22" s="26" t="n">
        <x:v>-0.03243737478732921</x:v>
      </x:c>
      <x:c r="U22" s="26" t="n">
        <x:v>1.3670079761267269</x:v>
      </x:c>
      <x:c r="V22" s="26" t="n">
        <x:v>0.6329920238732731</x:v>
      </x:c>
    </x:row>
    <x:row r="23">
      <x:c r="A23" s="26" t="n">
        <x:v>9.5</x:v>
      </x:c>
      <x:c r="B23" s="26" t="n">
        <x:f>(A23/$N$3)^2</x:f>
        <x:v>0.040193725351965796</x:v>
      </x:c>
      <x:c r="C23" s="26" t="n">
        <x:f>0-(A23/$N$4)^2</x:f>
        <x:v>-0.03614164289575878</x:v>
      </x:c>
      <x:c r="D23" s="26" t="n">
        <x:f>MIN(B23,$N$5)</x:f>
        <x:v>0.040193725351965796</x:v>
      </x:c>
      <x:c r="E23" s="26" t="n">
        <x:f>IF(A23&lt;=$N$7,MAX(C23,$N$6),MAX(C23,$N$6*($N$8-A23)/($N$8-$N$7)))</x:f>
        <x:v>-0.03614164289575878</x:v>
      </x:c>
      <x:c r="F23" s="26" t="n">
        <x:f>IF(A23&lt;=$N$7,1+$N$9*A23/$N$7,$N$10+(A23-$N$7)*($N$12-$N$10)/($N$8-$N$7))</x:f>
        <x:v>1.3873973081337674</x:v>
      </x:c>
      <x:c r="G23" s="26" t="n">
        <x:f>IF(A23&lt;=$N$7,1-$N$9*A23/$N$7,$N$11+(A23-$N$7)*($N$13-$N$11)/($N$8-$N$7))</x:f>
        <x:v>0.6126026918662327</x:v>
      </x:c>
      <x:c r="H23" s="26" t="n">
        <x:f>MIN(F23,B23)</x:f>
        <x:v>0.040193725351965796</x:v>
      </x:c>
      <x:c r="I23" s="26" t="n">
        <x:f>MAX(G23,C23)</x:f>
        <x:v>0.6126026918662327</x:v>
      </x:c>
      <x:c r="J23" s="26" t="n">
        <x:f>MAX(D23,H23)</x:f>
        <x:v>0.040193725351965796</x:v>
      </x:c>
      <x:c r="K23" s="26" t="n">
        <x:f>MIN(E23,I23)</x:f>
        <x:v>-0.03614164289575878</x:v>
      </x:c>
      <x:c r="P23" s="26" t="n">
        <x:v>9.5</x:v>
      </x:c>
      <x:c r="Q23" s="26" t="n">
        <x:v>0.040193725351965796</x:v>
      </x:c>
      <x:c r="R23" s="26" t="n">
        <x:v>-0.03614164289575878</x:v>
      </x:c>
      <x:c r="S23" s="26" t="n">
        <x:v>0.040193725351965796</x:v>
      </x:c>
      <x:c r="T23" s="26" t="n">
        <x:v>-0.03614164289575878</x:v>
      </x:c>
      <x:c r="U23" s="26" t="n">
        <x:v>1.3873973081337674</x:v>
      </x:c>
      <x:c r="V23" s="26" t="n">
        <x:v>0.6126026918662327</x:v>
      </x:c>
    </x:row>
    <x:row r="24">
      <x:c r="A24" s="26" t="n">
        <x:v>10</x:v>
      </x:c>
      <x:c r="B24" s="26" t="n">
        <x:f>(A24/$N$3)^2</x:f>
        <x:v>0.04453598376949118</x:v>
      </x:c>
      <x:c r="C24" s="26" t="n">
        <x:f>0-(A24/$N$4)^2</x:f>
        <x:v>-0.040046141712752115</x:v>
      </x:c>
      <x:c r="D24" s="26" t="n">
        <x:f>MIN(B24,$N$5)</x:f>
        <x:v>0.04453598376949118</x:v>
      </x:c>
      <x:c r="E24" s="26" t="n">
        <x:f>IF(A24&lt;=$N$7,MAX(C24,$N$6),MAX(C24,$N$6*($N$8-A24)/($N$8-$N$7)))</x:f>
        <x:v>-0.040046141712752115</x:v>
      </x:c>
      <x:c r="F24" s="26" t="n">
        <x:f>IF(A24&lt;=$N$7,1+$N$9*A24/$N$7,$N$10+(A24-$N$7)*($N$12-$N$10)/($N$8-$N$7))</x:f>
        <x:v>1.4077866401408077</x:v>
      </x:c>
      <x:c r="G24" s="26" t="n">
        <x:f>IF(A24&lt;=$N$7,1-$N$9*A24/$N$7,$N$11+(A24-$N$7)*($N$13-$N$11)/($N$8-$N$7))</x:f>
        <x:v>0.5922133598591923</x:v>
      </x:c>
      <x:c r="H24" s="26" t="n">
        <x:f>MIN(F24,B24)</x:f>
        <x:v>0.04453598376949118</x:v>
      </x:c>
      <x:c r="I24" s="26" t="n">
        <x:f>MAX(G24,C24)</x:f>
        <x:v>0.5922133598591923</x:v>
      </x:c>
      <x:c r="J24" s="26" t="n">
        <x:f>MAX(D24,H24)</x:f>
        <x:v>0.04453598376949118</x:v>
      </x:c>
      <x:c r="K24" s="26" t="n">
        <x:f>MIN(E24,I24)</x:f>
        <x:v>-0.040046141712752115</x:v>
      </x:c>
      <x:c r="P24" s="26" t="n">
        <x:v>10</x:v>
      </x:c>
      <x:c r="Q24" s="26" t="n">
        <x:v>0.04453598376949118</x:v>
      </x:c>
      <x:c r="R24" s="26" t="n">
        <x:v>-0.040046141712752115</x:v>
      </x:c>
      <x:c r="S24" s="26" t="n">
        <x:v>0.04453598376949118</x:v>
      </x:c>
      <x:c r="T24" s="26" t="n">
        <x:v>-0.040046141712752115</x:v>
      </x:c>
      <x:c r="U24" s="26" t="n">
        <x:v>1.4077866401408077</x:v>
      </x:c>
      <x:c r="V24" s="26" t="n">
        <x:v>0.5922133598591923</x:v>
      </x:c>
    </x:row>
    <x:row r="25">
      <x:c r="A25" s="26" t="n">
        <x:v>10.5</x:v>
      </x:c>
      <x:c r="B25" s="26" t="n">
        <x:f>(A25/$N$3)^2</x:f>
        <x:v>0.04910092210586403</x:v>
      </x:c>
      <x:c r="C25" s="26" t="n">
        <x:f>0-(A25/$N$4)^2</x:f>
        <x:v>-0.0441508712383092</x:v>
      </x:c>
      <x:c r="D25" s="26" t="n">
        <x:f>MIN(B25,$N$5)</x:f>
        <x:v>0.04910092210586403</x:v>
      </x:c>
      <x:c r="E25" s="26" t="n">
        <x:f>IF(A25&lt;=$N$7,MAX(C25,$N$6),MAX(C25,$N$6*($N$8-A25)/($N$8-$N$7)))</x:f>
        <x:v>-0.0441508712383092</x:v>
      </x:c>
      <x:c r="F25" s="26" t="n">
        <x:f>IF(A25&lt;=$N$7,1+$N$9*A25/$N$7,$N$10+(A25-$N$7)*($N$12-$N$10)/($N$8-$N$7))</x:f>
        <x:v>1.428175972147848</x:v>
      </x:c>
      <x:c r="G25" s="26" t="n">
        <x:f>IF(A25&lt;=$N$7,1-$N$9*A25/$N$7,$N$11+(A25-$N$7)*($N$13-$N$11)/($N$8-$N$7))</x:f>
        <x:v>0.571824027852152</x:v>
      </x:c>
      <x:c r="H25" s="26" t="n">
        <x:f>MIN(F25,B25)</x:f>
        <x:v>0.04910092210586403</x:v>
      </x:c>
      <x:c r="I25" s="26" t="n">
        <x:f>MAX(G25,C25)</x:f>
        <x:v>0.571824027852152</x:v>
      </x:c>
      <x:c r="J25" s="26" t="n">
        <x:f>MAX(D25,H25)</x:f>
        <x:v>0.04910092210586403</x:v>
      </x:c>
      <x:c r="K25" s="26" t="n">
        <x:f>MIN(E25,I25)</x:f>
        <x:v>-0.0441508712383092</x:v>
      </x:c>
      <x:c r="P25" s="26" t="n">
        <x:v>10.5</x:v>
      </x:c>
      <x:c r="Q25" s="26" t="n">
        <x:v>0.04910092210586403</x:v>
      </x:c>
      <x:c r="R25" s="26" t="n">
        <x:v>-0.0441508712383092</x:v>
      </x:c>
      <x:c r="S25" s="26" t="n">
        <x:v>0.04910092210586403</x:v>
      </x:c>
      <x:c r="T25" s="26" t="n">
        <x:v>-0.0441508712383092</x:v>
      </x:c>
      <x:c r="U25" s="26" t="n">
        <x:v>1.428175972147848</x:v>
      </x:c>
      <x:c r="V25" s="26" t="n">
        <x:v>0.571824027852152</x:v>
      </x:c>
    </x:row>
    <x:row r="26">
      <x:c r="A26" s="26" t="n">
        <x:v>11</x:v>
      </x:c>
      <x:c r="B26" s="26" t="n">
        <x:f>(A26/$N$3)^2</x:f>
        <x:v>0.053888540361084335</x:v>
      </x:c>
      <x:c r="C26" s="26" t="n">
        <x:f>0-(A26/$N$4)^2</x:f>
        <x:v>-0.04845583147243006</x:v>
      </x:c>
      <x:c r="D26" s="26" t="n">
        <x:f>MIN(B26,$N$5)</x:f>
        <x:v>0.053888540361084335</x:v>
      </x:c>
      <x:c r="E26" s="26" t="n">
        <x:f>IF(A26&lt;=$N$7,MAX(C26,$N$6),MAX(C26,$N$6*($N$8-A26)/($N$8-$N$7)))</x:f>
        <x:v>-0.04845583147243006</x:v>
      </x:c>
      <x:c r="F26" s="26" t="n">
        <x:f>IF(A26&lt;=$N$7,1+$N$9*A26/$N$7,$N$10+(A26-$N$7)*($N$12-$N$10)/($N$8-$N$7))</x:f>
        <x:v>1.4485653041548883</x:v>
      </x:c>
      <x:c r="G26" s="26" t="n">
        <x:f>IF(A26&lt;=$N$7,1-$N$9*A26/$N$7,$N$11+(A26-$N$7)*($N$13-$N$11)/($N$8-$N$7))</x:f>
        <x:v>0.5514346958451116</x:v>
      </x:c>
      <x:c r="H26" s="26" t="n">
        <x:f>MIN(F26,B26)</x:f>
        <x:v>0.053888540361084335</x:v>
      </x:c>
      <x:c r="I26" s="26" t="n">
        <x:f>MAX(G26,C26)</x:f>
        <x:v>0.5514346958451116</x:v>
      </x:c>
      <x:c r="J26" s="26" t="n">
        <x:f>MAX(D26,H26)</x:f>
        <x:v>0.053888540361084335</x:v>
      </x:c>
      <x:c r="K26" s="26" t="n">
        <x:f>MIN(E26,I26)</x:f>
        <x:v>-0.04845583147243006</x:v>
      </x:c>
      <x:c r="P26" s="26" t="n">
        <x:v>11</x:v>
      </x:c>
      <x:c r="Q26" s="26" t="n">
        <x:v>0.053888540361084335</x:v>
      </x:c>
      <x:c r="R26" s="26" t="n">
        <x:v>-0.04845583147243006</x:v>
      </x:c>
      <x:c r="S26" s="26" t="n">
        <x:v>0.053888540361084335</x:v>
      </x:c>
      <x:c r="T26" s="26" t="n">
        <x:v>-0.04845583147243006</x:v>
      </x:c>
      <x:c r="U26" s="26" t="n">
        <x:v>1.4485653041548883</x:v>
      </x:c>
      <x:c r="V26" s="26" t="n">
        <x:v>0.5514346958451116</x:v>
      </x:c>
    </x:row>
    <x:row r="27">
      <x:c r="A27" s="26" t="n">
        <x:v>11.5</x:v>
      </x:c>
      <x:c r="B27" s="26" t="n">
        <x:f>(A27/$N$3)^2</x:f>
        <x:v>0.05889883853515209</x:v>
      </x:c>
      <x:c r="C27" s="26" t="n">
        <x:f>0-(A27/$N$4)^2</x:f>
        <x:v>-0.05296102241511467</x:v>
      </x:c>
      <x:c r="D27" s="26" t="n">
        <x:f>MIN(B27,$N$5)</x:f>
        <x:v>0.05889883853515209</x:v>
      </x:c>
      <x:c r="E27" s="26" t="n">
        <x:f>IF(A27&lt;=$N$7,MAX(C27,$N$6),MAX(C27,$N$6*($N$8-A27)/($N$8-$N$7)))</x:f>
        <x:v>-0.05296102241511467</x:v>
      </x:c>
      <x:c r="F27" s="26" t="n">
        <x:f>IF(A27&lt;=$N$7,1+$N$9*A27/$N$7,$N$10+(A27-$N$7)*($N$12-$N$10)/($N$8-$N$7))</x:f>
        <x:v>1.4689546361619288</x:v>
      </x:c>
      <x:c r="G27" s="26" t="n">
        <x:f>IF(A27&lt;=$N$7,1-$N$9*A27/$N$7,$N$11+(A27-$N$7)*($N$13-$N$11)/($N$8-$N$7))</x:f>
        <x:v>0.5310453638380712</x:v>
      </x:c>
      <x:c r="H27" s="26" t="n">
        <x:f>MIN(F27,B27)</x:f>
        <x:v>0.05889883853515209</x:v>
      </x:c>
      <x:c r="I27" s="26" t="n">
        <x:f>MAX(G27,C27)</x:f>
        <x:v>0.5310453638380712</x:v>
      </x:c>
      <x:c r="J27" s="26" t="n">
        <x:f>MAX(D27,H27)</x:f>
        <x:v>0.05889883853515209</x:v>
      </x:c>
      <x:c r="K27" s="26" t="n">
        <x:f>MIN(E27,I27)</x:f>
        <x:v>-0.05296102241511467</x:v>
      </x:c>
      <x:c r="P27" s="26" t="n">
        <x:v>11.5</x:v>
      </x:c>
      <x:c r="Q27" s="26" t="n">
        <x:v>0.05889883853515209</x:v>
      </x:c>
      <x:c r="R27" s="26" t="n">
        <x:v>-0.05296102241511467</x:v>
      </x:c>
      <x:c r="S27" s="26" t="n">
        <x:v>0.05889883853515209</x:v>
      </x:c>
      <x:c r="T27" s="26" t="n">
        <x:v>-0.05296102241511467</x:v>
      </x:c>
      <x:c r="U27" s="26" t="n">
        <x:v>1.4689546361619288</x:v>
      </x:c>
      <x:c r="V27" s="26" t="n">
        <x:v>0.5310453638380712</x:v>
      </x:c>
    </x:row>
    <x:row r="28">
      <x:c r="A28" s="26" t="n">
        <x:v>12</x:v>
      </x:c>
      <x:c r="B28" s="26" t="n">
        <x:f>(A28/$N$3)^2</x:f>
        <x:v>0.06413181662806731</x:v>
      </x:c>
      <x:c r="C28" s="26" t="n">
        <x:f>0-(A28/$N$4)^2</x:f>
        <x:v>-0.057666444066363044</x:v>
      </x:c>
      <x:c r="D28" s="26" t="n">
        <x:f>MIN(B28,$N$5)</x:f>
        <x:v>0.06413181662806731</x:v>
      </x:c>
      <x:c r="E28" s="26" t="n">
        <x:f>IF(A28&lt;=$N$7,MAX(C28,$N$6),MAX(C28,$N$6*($N$8-A28)/($N$8-$N$7)))</x:f>
        <x:v>-0.057666444066363044</x:v>
      </x:c>
      <x:c r="F28" s="26" t="n">
        <x:f>IF(A28&lt;=$N$7,1+$N$9*A28/$N$7,$N$10+(A28-$N$7)*($N$12-$N$10)/($N$8-$N$7))</x:f>
        <x:v>1.489343968168969</x:v>
      </x:c>
      <x:c r="G28" s="26" t="n">
        <x:f>IF(A28&lt;=$N$7,1-$N$9*A28/$N$7,$N$11+(A28-$N$7)*($N$13-$N$11)/($N$8-$N$7))</x:f>
        <x:v>0.5106560318310309</x:v>
      </x:c>
      <x:c r="H28" s="26" t="n">
        <x:f>MIN(F28,B28)</x:f>
        <x:v>0.06413181662806731</x:v>
      </x:c>
      <x:c r="I28" s="26" t="n">
        <x:f>MAX(G28,C28)</x:f>
        <x:v>0.5106560318310309</x:v>
      </x:c>
      <x:c r="J28" s="26" t="n">
        <x:f>MAX(D28,H28)</x:f>
        <x:v>0.06413181662806731</x:v>
      </x:c>
      <x:c r="K28" s="26" t="n">
        <x:f>MIN(E28,I28)</x:f>
        <x:v>-0.057666444066363044</x:v>
      </x:c>
      <x:c r="P28" s="26" t="n">
        <x:v>12</x:v>
      </x:c>
      <x:c r="Q28" s="26" t="n">
        <x:v>0.06413181662806731</x:v>
      </x:c>
      <x:c r="R28" s="26" t="n">
        <x:v>-0.057666444066363044</x:v>
      </x:c>
      <x:c r="S28" s="26" t="n">
        <x:v>0.06413181662806731</x:v>
      </x:c>
      <x:c r="T28" s="26" t="n">
        <x:v>-0.057666444066363044</x:v>
      </x:c>
      <x:c r="U28" s="26" t="n">
        <x:v>1.4893439681689693</x:v>
      </x:c>
      <x:c r="V28" s="26" t="n">
        <x:v>0.5106560318310308</x:v>
      </x:c>
    </x:row>
    <x:row r="29">
      <x:c r="A29" s="26" t="n">
        <x:v>12.5</x:v>
      </x:c>
      <x:c r="B29" s="26" t="n">
        <x:f>(A29/$N$3)^2</x:f>
        <x:v>0.06958747463982998</x:v>
      </x:c>
      <x:c r="C29" s="26" t="n">
        <x:f>0-(A29/$N$4)^2</x:f>
        <x:v>-0.06257209642617517</x:v>
      </x:c>
      <x:c r="D29" s="26" t="n">
        <x:f>MIN(B29,$N$5)</x:f>
        <x:v>0.06958747463982998</x:v>
      </x:c>
      <x:c r="E29" s="26" t="n">
        <x:f>IF(A29&lt;=$N$7,MAX(C29,$N$6),MAX(C29,$N$6*($N$8-A29)/($N$8-$N$7)))</x:f>
        <x:v>-0.06257209642617517</x:v>
      </x:c>
      <x:c r="F29" s="26" t="n">
        <x:f>IF(A29&lt;=$N$7,1+$N$9*A29/$N$7,$N$10+(A29-$N$7)*($N$12-$N$10)/($N$8-$N$7))</x:f>
        <x:v>1.5097333001760096</x:v>
      </x:c>
      <x:c r="G29" s="26" t="n">
        <x:f>IF(A29&lt;=$N$7,1-$N$9*A29/$N$7,$N$11+(A29-$N$7)*($N$13-$N$11)/($N$8-$N$7))</x:f>
        <x:v>0.4902666998239905</x:v>
      </x:c>
      <x:c r="H29" s="26" t="n">
        <x:f>MIN(F29,B29)</x:f>
        <x:v>0.06958747463982998</x:v>
      </x:c>
      <x:c r="I29" s="26" t="n">
        <x:f>MAX(G29,C29)</x:f>
        <x:v>0.4902666998239905</x:v>
      </x:c>
      <x:c r="J29" s="26" t="n">
        <x:f>MAX(D29,H29)</x:f>
        <x:v>0.06958747463982998</x:v>
      </x:c>
      <x:c r="K29" s="26" t="n">
        <x:f>MIN(E29,I29)</x:f>
        <x:v>-0.06257209642617517</x:v>
      </x:c>
      <x:c r="P29" s="26" t="n">
        <x:v>12.5</x:v>
      </x:c>
      <x:c r="Q29" s="26" t="n">
        <x:v>0.06958747463982998</x:v>
      </x:c>
      <x:c r="R29" s="26" t="n">
        <x:v>-0.06257209642617517</x:v>
      </x:c>
      <x:c r="S29" s="26" t="n">
        <x:v>0.06958747463982998</x:v>
      </x:c>
      <x:c r="T29" s="26" t="n">
        <x:v>-0.06257209642617517</x:v>
      </x:c>
      <x:c r="U29" s="26" t="n">
        <x:v>1.5097333001760096</x:v>
      </x:c>
      <x:c r="V29" s="26" t="n">
        <x:v>0.4902666998239904</x:v>
      </x:c>
    </x:row>
    <x:row r="30">
      <x:c r="A30" s="26" t="n">
        <x:v>13</x:v>
      </x:c>
      <x:c r="B30" s="26" t="n">
        <x:f>(A30/$N$3)^2</x:f>
        <x:v>0.07526581257044011</x:v>
      </x:c>
      <x:c r="C30" s="26" t="n">
        <x:f>0-(A30/$N$4)^2</x:f>
        <x:v>-0.06767797949455108</x:v>
      </x:c>
      <x:c r="D30" s="26" t="n">
        <x:f>MIN(B30,$N$5)</x:f>
        <x:v>0.07526581257044011</x:v>
      </x:c>
      <x:c r="E30" s="26" t="n">
        <x:f>IF(A30&lt;=$N$7,MAX(C30,$N$6),MAX(C30,$N$6*($N$8-A30)/($N$8-$N$7)))</x:f>
        <x:v>-0.06767797949455108</x:v>
      </x:c>
      <x:c r="F30" s="26" t="n">
        <x:f>IF(A30&lt;=$N$7,1+$N$9*A30/$N$7,$N$10+(A30-$N$7)*($N$12-$N$10)/($N$8-$N$7))</x:f>
        <x:v>1.53012263218305</x:v>
      </x:c>
      <x:c r="G30" s="26" t="n">
        <x:f>IF(A30&lt;=$N$7,1-$N$9*A30/$N$7,$N$11+(A30-$N$7)*($N$13-$N$11)/($N$8-$N$7))</x:f>
        <x:v>0.4698773678169501</x:v>
      </x:c>
      <x:c r="H30" s="26" t="n">
        <x:f>MIN(F30,B30)</x:f>
        <x:v>0.07526581257044011</x:v>
      </x:c>
      <x:c r="I30" s="26" t="n">
        <x:f>MAX(G30,C30)</x:f>
        <x:v>0.4698773678169501</x:v>
      </x:c>
      <x:c r="J30" s="26" t="n">
        <x:f>MAX(D30,H30)</x:f>
        <x:v>0.07526581257044011</x:v>
      </x:c>
      <x:c r="K30" s="26" t="n">
        <x:f>MIN(E30,I30)</x:f>
        <x:v>-0.06767797949455108</x:v>
      </x:c>
      <x:c r="P30" s="26" t="n">
        <x:v>13</x:v>
      </x:c>
      <x:c r="Q30" s="26" t="n">
        <x:v>0.07526581257044011</x:v>
      </x:c>
      <x:c r="R30" s="26" t="n">
        <x:v>-0.06767797949455108</x:v>
      </x:c>
      <x:c r="S30" s="26" t="n">
        <x:v>0.07526581257044011</x:v>
      </x:c>
      <x:c r="T30" s="26" t="n">
        <x:v>-0.06767797949455108</x:v>
      </x:c>
      <x:c r="U30" s="26" t="n">
        <x:v>1.53012263218305</x:v>
      </x:c>
      <x:c r="V30" s="26" t="n">
        <x:v>0.4698773678169501</x:v>
      </x:c>
    </x:row>
    <x:row r="31">
      <x:c r="A31" s="26" t="n">
        <x:v>13.5</x:v>
      </x:c>
      <x:c r="B31" s="26" t="n">
        <x:f>(A31/$N$3)^2</x:f>
        <x:v>0.0811668304198977</x:v>
      </x:c>
      <x:c r="C31" s="26" t="n">
        <x:f>0-(A31/$N$4)^2</x:f>
        <x:v>-0.07298409327149073</x:v>
      </x:c>
      <x:c r="D31" s="26" t="n">
        <x:f>MIN(B31,$N$5)</x:f>
        <x:v>0.0811668304198977</x:v>
      </x:c>
      <x:c r="E31" s="26" t="n">
        <x:f>IF(A31&lt;=$N$7,MAX(C31,$N$6),MAX(C31,$N$6*($N$8-A31)/($N$8-$N$7)))</x:f>
        <x:v>-0.07298409327149073</x:v>
      </x:c>
      <x:c r="F31" s="26" t="n">
        <x:f>IF(A31&lt;=$N$7,1+$N$9*A31/$N$7,$N$10+(A31-$N$7)*($N$12-$N$10)/($N$8-$N$7))</x:f>
        <x:v>1.5505119641900902</x:v>
      </x:c>
      <x:c r="G31" s="26" t="n">
        <x:f>IF(A31&lt;=$N$7,1-$N$9*A31/$N$7,$N$11+(A31-$N$7)*($N$13-$N$11)/($N$8-$N$7))</x:f>
        <x:v>0.4494880358099097</x:v>
      </x:c>
      <x:c r="H31" s="26" t="n">
        <x:f>MIN(F31,B31)</x:f>
        <x:v>0.0811668304198977</x:v>
      </x:c>
      <x:c r="I31" s="26" t="n">
        <x:f>MAX(G31,C31)</x:f>
        <x:v>0.4494880358099097</x:v>
      </x:c>
      <x:c r="J31" s="26" t="n">
        <x:f>MAX(D31,H31)</x:f>
        <x:v>0.0811668304198977</x:v>
      </x:c>
      <x:c r="K31" s="26" t="n">
        <x:f>MIN(E31,I31)</x:f>
        <x:v>-0.07298409327149073</x:v>
      </x:c>
      <x:c r="P31" s="26" t="n">
        <x:v>13.5</x:v>
      </x:c>
      <x:c r="Q31" s="26" t="n">
        <x:v>0.0811668304198977</x:v>
      </x:c>
      <x:c r="R31" s="26" t="n">
        <x:v>-0.07298409327149073</x:v>
      </x:c>
      <x:c r="S31" s="26" t="n">
        <x:v>0.0811668304198977</x:v>
      </x:c>
      <x:c r="T31" s="26" t="n">
        <x:v>-0.07298409327149073</x:v>
      </x:c>
      <x:c r="U31" s="26" t="n">
        <x:v>1.5505119641900902</x:v>
      </x:c>
      <x:c r="V31" s="26" t="n">
        <x:v>0.4494880358099097</x:v>
      </x:c>
    </x:row>
    <x:row r="32">
      <x:c r="A32" s="26" t="n">
        <x:v>14</x:v>
      </x:c>
      <x:c r="B32" s="26" t="n">
        <x:f>(A32/$N$3)^2</x:f>
        <x:v>0.08729052818820271</x:v>
      </x:c>
      <x:c r="C32" s="26" t="n">
        <x:f>0-(A32/$N$4)^2</x:f>
        <x:v>-0.07849043775699414</x:v>
      </x:c>
      <x:c r="D32" s="26" t="n">
        <x:f>MIN(B32,$N$5)</x:f>
        <x:v>0.08729052818820271</x:v>
      </x:c>
      <x:c r="E32" s="26" t="n">
        <x:f>IF(A32&lt;=$N$7,MAX(C32,$N$6),MAX(C32,$N$6*($N$8-A32)/($N$8-$N$7)))</x:f>
        <x:v>-0.07849043775699414</x:v>
      </x:c>
      <x:c r="F32" s="26" t="n">
        <x:f>IF(A32&lt;=$N$7,1+$N$9*A32/$N$7,$N$10+(A32-$N$7)*($N$12-$N$10)/($N$8-$N$7))</x:f>
        <x:v>1.5709012961971307</x:v>
      </x:c>
      <x:c r="G32" s="26" t="n">
        <x:f>IF(A32&lt;=$N$7,1-$N$9*A32/$N$7,$N$11+(A32-$N$7)*($N$13-$N$11)/($N$8-$N$7))</x:f>
        <x:v>0.4290987038028693</x:v>
      </x:c>
      <x:c r="H32" s="26" t="n">
        <x:f>MIN(F32,B32)</x:f>
        <x:v>0.08729052818820271</x:v>
      </x:c>
      <x:c r="I32" s="26" t="n">
        <x:f>MAX(G32,C32)</x:f>
        <x:v>0.4290987038028693</x:v>
      </x:c>
      <x:c r="J32" s="26" t="n">
        <x:f>MAX(D32,H32)</x:f>
        <x:v>0.08729052818820271</x:v>
      </x:c>
      <x:c r="K32" s="26" t="n">
        <x:f>MIN(E32,I32)</x:f>
        <x:v>-0.07849043775699414</x:v>
      </x:c>
      <x:c r="P32" s="26" t="n">
        <x:v>14</x:v>
      </x:c>
      <x:c r="Q32" s="26" t="n">
        <x:v>0.08729052818820271</x:v>
      </x:c>
      <x:c r="R32" s="26" t="n">
        <x:v>-0.07849043775699414</x:v>
      </x:c>
      <x:c r="S32" s="26" t="n">
        <x:v>0.08729052818820271</x:v>
      </x:c>
      <x:c r="T32" s="26" t="n">
        <x:v>-0.07849043775699414</x:v>
      </x:c>
      <x:c r="U32" s="26" t="n">
        <x:v>1.5709012961971307</x:v>
      </x:c>
      <x:c r="V32" s="26" t="n">
        <x:v>0.4290987038028693</x:v>
      </x:c>
    </x:row>
    <x:row r="33">
      <x:c r="A33" s="26" t="n">
        <x:v>14.5</x:v>
      </x:c>
      <x:c r="B33" s="26" t="n">
        <x:f>(A33/$N$3)^2</x:f>
        <x:v>0.0936369058753552</x:v>
      </x:c>
      <x:c r="C33" s="26" t="n">
        <x:f>0-(A33/$N$4)^2</x:f>
        <x:v>-0.0841970129510613</x:v>
      </x:c>
      <x:c r="D33" s="26" t="n">
        <x:f>MIN(B33,$N$5)</x:f>
        <x:v>0.0936369058753552</x:v>
      </x:c>
      <x:c r="E33" s="26" t="n">
        <x:f>IF(A33&lt;=$N$7,MAX(C33,$N$6),MAX(C33,$N$6*($N$8-A33)/($N$8-$N$7)))</x:f>
        <x:v>-0.0841970129510613</x:v>
      </x:c>
      <x:c r="F33" s="26" t="n">
        <x:f>IF(A33&lt;=$N$7,1+$N$9*A33/$N$7,$N$10+(A33-$N$7)*($N$12-$N$10)/($N$8-$N$7))</x:f>
        <x:v>1.5912906282041712</x:v>
      </x:c>
      <x:c r="G33" s="26" t="n">
        <x:f>IF(A33&lt;=$N$7,1-$N$9*A33/$N$7,$N$11+(A33-$N$7)*($N$13-$N$11)/($N$8-$N$7))</x:f>
        <x:v>0.4087093717958289</x:v>
      </x:c>
      <x:c r="H33" s="26" t="n">
        <x:f>MIN(F33,B33)</x:f>
        <x:v>0.0936369058753552</x:v>
      </x:c>
      <x:c r="I33" s="26" t="n">
        <x:f>MAX(G33,C33)</x:f>
        <x:v>0.4087093717958289</x:v>
      </x:c>
      <x:c r="J33" s="26" t="n">
        <x:f>MAX(D33,H33)</x:f>
        <x:v>0.0936369058753552</x:v>
      </x:c>
      <x:c r="K33" s="26" t="n">
        <x:f>MIN(E33,I33)</x:f>
        <x:v>-0.0841970129510613</x:v>
      </x:c>
      <x:c r="P33" s="26" t="n">
        <x:v>14.5</x:v>
      </x:c>
      <x:c r="Q33" s="26" t="n">
        <x:v>0.0936369058753552</x:v>
      </x:c>
      <x:c r="R33" s="26" t="n">
        <x:v>-0.0841970129510613</x:v>
      </x:c>
      <x:c r="S33" s="26" t="n">
        <x:v>0.0936369058753552</x:v>
      </x:c>
      <x:c r="T33" s="26" t="n">
        <x:v>-0.0841970129510613</x:v>
      </x:c>
      <x:c r="U33" s="26" t="n">
        <x:v>1.5912906282041712</x:v>
      </x:c>
      <x:c r="V33" s="26" t="n">
        <x:v>0.4087093717958289</x:v>
      </x:c>
    </x:row>
    <x:row r="34">
      <x:c r="A34" s="26" t="n">
        <x:v>15</x:v>
      </x:c>
      <x:c r="B34" s="26" t="n">
        <x:f>(A34/$N$3)^2</x:f>
        <x:v>0.10020596348135516</x:v>
      </x:c>
      <x:c r="C34" s="26" t="n">
        <x:f>0-(A34/$N$4)^2</x:f>
        <x:v>-0.09010381885369226</x:v>
      </x:c>
      <x:c r="D34" s="26" t="n">
        <x:f>MIN(B34,$N$5)</x:f>
        <x:v>0.10020596348135516</x:v>
      </x:c>
      <x:c r="E34" s="26" t="n">
        <x:f>IF(A34&lt;=$N$7,MAX(C34,$N$6),MAX(C34,$N$6*($N$8-A34)/($N$8-$N$7)))</x:f>
        <x:v>-0.09010381885369226</x:v>
      </x:c>
      <x:c r="F34" s="26" t="n">
        <x:f>IF(A34&lt;=$N$7,1+$N$9*A34/$N$7,$N$10+(A34-$N$7)*($N$12-$N$10)/($N$8-$N$7))</x:f>
        <x:v>1.6116799602112115</x:v>
      </x:c>
      <x:c r="G34" s="26" t="n">
        <x:f>IF(A34&lt;=$N$7,1-$N$9*A34/$N$7,$N$11+(A34-$N$7)*($N$13-$N$11)/($N$8-$N$7))</x:f>
        <x:v>0.3883200397887886</x:v>
      </x:c>
      <x:c r="H34" s="26" t="n">
        <x:f>MIN(F34,B34)</x:f>
        <x:v>0.10020596348135516</x:v>
      </x:c>
      <x:c r="I34" s="26" t="n">
        <x:f>MAX(G34,C34)</x:f>
        <x:v>0.3883200397887886</x:v>
      </x:c>
      <x:c r="J34" s="26" t="n">
        <x:f>MAX(D34,H34)</x:f>
        <x:v>0.10020596348135516</x:v>
      </x:c>
      <x:c r="K34" s="26" t="n">
        <x:f>MIN(E34,I34)</x:f>
        <x:v>-0.09010381885369226</x:v>
      </x:c>
      <x:c r="P34" s="26" t="n">
        <x:v>15</x:v>
      </x:c>
      <x:c r="Q34" s="26" t="n">
        <x:v>0.10020596348135516</x:v>
      </x:c>
      <x:c r="R34" s="26" t="n">
        <x:v>-0.09010381885369226</x:v>
      </x:c>
      <x:c r="S34" s="26" t="n">
        <x:v>0.10020596348135516</x:v>
      </x:c>
      <x:c r="T34" s="26" t="n">
        <x:v>-0.09010381885369226</x:v>
      </x:c>
      <x:c r="U34" s="26" t="n">
        <x:v>1.6116799602112115</x:v>
      </x:c>
      <x:c r="V34" s="26" t="n">
        <x:v>0.3883200397887886</x:v>
      </x:c>
    </x:row>
    <x:row r="35">
      <x:c r="A35" s="26" t="n">
        <x:v>15.5</x:v>
      </x:c>
      <x:c r="B35" s="26" t="n">
        <x:f>(A35/$N$3)^2</x:f>
        <x:v>0.10699770100620257</x:v>
      </x:c>
      <x:c r="C35" s="26" t="n">
        <x:f>0-(A35/$N$4)^2</x:f>
        <x:v>-0.09621085546488695</x:v>
      </x:c>
      <x:c r="D35" s="26" t="n">
        <x:f>MIN(B35,$N$5)</x:f>
        <x:v>0.10699770100620257</x:v>
      </x:c>
      <x:c r="E35" s="26" t="n">
        <x:f>IF(A35&lt;=$N$7,MAX(C35,$N$6),MAX(C35,$N$6*($N$8-A35)/($N$8-$N$7)))</x:f>
        <x:v>-0.09621085546488695</x:v>
      </x:c>
      <x:c r="F35" s="26" t="n">
        <x:f>IF(A35&lt;=$N$7,1+$N$9*A35/$N$7,$N$10+(A35-$N$7)*($N$12-$N$10)/($N$8-$N$7))</x:f>
        <x:v>1.6320692922182518</x:v>
      </x:c>
      <x:c r="G35" s="26" t="n">
        <x:f>IF(A35&lt;=$N$7,1-$N$9*A35/$N$7,$N$11+(A35-$N$7)*($N$13-$N$11)/($N$8-$N$7))</x:f>
        <x:v>0.3679307077817482</x:v>
      </x:c>
      <x:c r="H35" s="26" t="n">
        <x:f>MIN(F35,B35)</x:f>
        <x:v>0.10699770100620257</x:v>
      </x:c>
      <x:c r="I35" s="26" t="n">
        <x:f>MAX(G35,C35)</x:f>
        <x:v>0.3679307077817482</x:v>
      </x:c>
      <x:c r="J35" s="26" t="n">
        <x:f>MAX(D35,H35)</x:f>
        <x:v>0.10699770100620257</x:v>
      </x:c>
      <x:c r="K35" s="26" t="n">
        <x:f>MIN(E35,I35)</x:f>
        <x:v>-0.09621085546488695</x:v>
      </x:c>
      <x:c r="P35" s="26" t="n">
        <x:v>15.5</x:v>
      </x:c>
      <x:c r="Q35" s="26" t="n">
        <x:v>0.10699770100620257</x:v>
      </x:c>
      <x:c r="R35" s="26" t="n">
        <x:v>-0.09621085546488695</x:v>
      </x:c>
      <x:c r="S35" s="26" t="n">
        <x:v>0.10699770100620257</x:v>
      </x:c>
      <x:c r="T35" s="26" t="n">
        <x:v>-0.09621085546488695</x:v>
      </x:c>
      <x:c r="U35" s="26" t="n">
        <x:v>1.6320692922182518</x:v>
      </x:c>
      <x:c r="V35" s="26" t="n">
        <x:v>0.3679307077817482</x:v>
      </x:c>
    </x:row>
    <x:row r="36">
      <x:c r="A36" s="26" t="n">
        <x:v>16</x:v>
      </x:c>
      <x:c r="B36" s="26" t="n">
        <x:f>(A36/$N$3)^2</x:f>
        <x:v>0.11401211844989743</x:v>
      </x:c>
      <x:c r="C36" s="26" t="n">
        <x:f>0-(A36/$N$4)^2</x:f>
        <x:v>-0.1025181227846454</x:v>
      </x:c>
      <x:c r="D36" s="26" t="n">
        <x:f>MIN(B36,$N$5)</x:f>
        <x:v>0.11401211844989743</x:v>
      </x:c>
      <x:c r="E36" s="26" t="n">
        <x:f>IF(A36&lt;=$N$7,MAX(C36,$N$6),MAX(C36,$N$6*($N$8-A36)/($N$8-$N$7)))</x:f>
        <x:v>-0.1025181227846454</x:v>
      </x:c>
      <x:c r="F36" s="26" t="n">
        <x:f>IF(A36&lt;=$N$7,1+$N$9*A36/$N$7,$N$10+(A36-$N$7)*($N$12-$N$10)/($N$8-$N$7))</x:f>
        <x:v>1.652458624225292</x:v>
      </x:c>
      <x:c r="G36" s="26" t="n">
        <x:f>IF(A36&lt;=$N$7,1-$N$9*A36/$N$7,$N$11+(A36-$N$7)*($N$13-$N$11)/($N$8-$N$7))</x:f>
        <x:v>0.3475413757747078</x:v>
      </x:c>
      <x:c r="H36" s="26" t="n">
        <x:f>MIN(F36,B36)</x:f>
        <x:v>0.11401211844989743</x:v>
      </x:c>
      <x:c r="I36" s="26" t="n">
        <x:f>MAX(G36,C36)</x:f>
        <x:v>0.3475413757747078</x:v>
      </x:c>
      <x:c r="J36" s="26" t="n">
        <x:f>MAX(D36,H36)</x:f>
        <x:v>0.11401211844989743</x:v>
      </x:c>
      <x:c r="K36" s="26" t="n">
        <x:f>MIN(E36,I36)</x:f>
        <x:v>-0.1025181227846454</x:v>
      </x:c>
      <x:c r="P36" s="26" t="n">
        <x:v>16</x:v>
      </x:c>
      <x:c r="Q36" s="26" t="n">
        <x:v>0.11401211844989743</x:v>
      </x:c>
      <x:c r="R36" s="26" t="n">
        <x:v>-0.1025181227846454</x:v>
      </x:c>
      <x:c r="S36" s="26" t="n">
        <x:v>0.11401211844989743</x:v>
      </x:c>
      <x:c r="T36" s="26" t="n">
        <x:v>-0.1025181227846454</x:v>
      </x:c>
      <x:c r="U36" s="26" t="n">
        <x:v>1.652458624225292</x:v>
      </x:c>
      <x:c r="V36" s="26" t="n">
        <x:v>0.3475413757747078</x:v>
      </x:c>
    </x:row>
    <x:row r="37">
      <x:c r="A37" s="26" t="n">
        <x:v>16.5</x:v>
      </x:c>
      <x:c r="B37" s="26" t="n">
        <x:f>(A37/$N$3)^2</x:f>
        <x:v>0.12124921581243975</x:v>
      </x:c>
      <x:c r="C37" s="26" t="n">
        <x:f>0-(A37/$N$4)^2</x:f>
        <x:v>-0.10902562081296764</x:v>
      </x:c>
      <x:c r="D37" s="26" t="n">
        <x:f>MIN(B37,$N$5)</x:f>
        <x:v>0.12124921581243975</x:v>
      </x:c>
      <x:c r="E37" s="26" t="n">
        <x:f>IF(A37&lt;=$N$7,MAX(C37,$N$6),MAX(C37,$N$6*($N$8-A37)/($N$8-$N$7)))</x:f>
        <x:v>-0.10902562081296764</x:v>
      </x:c>
      <x:c r="F37" s="26" t="n">
        <x:f>IF(A37&lt;=$N$7,1+$N$9*A37/$N$7,$N$10+(A37-$N$7)*($N$12-$N$10)/($N$8-$N$7))</x:f>
        <x:v>1.6728479562323326</x:v>
      </x:c>
      <x:c r="G37" s="26" t="n">
        <x:f>IF(A37&lt;=$N$7,1-$N$9*A37/$N$7,$N$11+(A37-$N$7)*($N$13-$N$11)/($N$8-$N$7))</x:f>
        <x:v>0.3271520437676674</x:v>
      </x:c>
      <x:c r="H37" s="26" t="n">
        <x:f>MIN(F37,B37)</x:f>
        <x:v>0.12124921581243975</x:v>
      </x:c>
      <x:c r="I37" s="26" t="n">
        <x:f>MAX(G37,C37)</x:f>
        <x:v>0.3271520437676674</x:v>
      </x:c>
      <x:c r="J37" s="26" t="n">
        <x:f>MAX(D37,H37)</x:f>
        <x:v>0.12124921581243975</x:v>
      </x:c>
      <x:c r="K37" s="26" t="n">
        <x:f>MIN(E37,I37)</x:f>
        <x:v>-0.10902562081296764</x:v>
      </x:c>
      <x:c r="P37" s="26" t="n">
        <x:v>16.5</x:v>
      </x:c>
      <x:c r="Q37" s="26" t="n">
        <x:v>0.12124921581243975</x:v>
      </x:c>
      <x:c r="R37" s="26" t="n">
        <x:v>-0.10902562081296764</x:v>
      </x:c>
      <x:c r="S37" s="26" t="n">
        <x:v>0.12124921581243975</x:v>
      </x:c>
      <x:c r="T37" s="26" t="n">
        <x:v>-0.10902562081296764</x:v>
      </x:c>
      <x:c r="U37" s="26" t="n">
        <x:v>1.6728479562323326</x:v>
      </x:c>
      <x:c r="V37" s="26" t="n">
        <x:v>0.3271520437676674</x:v>
      </x:c>
    </x:row>
    <x:row r="38">
      <x:c r="A38" s="26" t="n">
        <x:v>17</x:v>
      </x:c>
      <x:c r="B38" s="26" t="n">
        <x:f>(A38/$N$3)^2</x:f>
        <x:v>0.12870899309382952</x:v>
      </x:c>
      <x:c r="C38" s="26" t="n">
        <x:f>0-(A38/$N$4)^2</x:f>
        <x:v>-0.1157333495498536</x:v>
      </x:c>
      <x:c r="D38" s="26" t="n">
        <x:f>MIN(B38,$N$5)</x:f>
        <x:v>0.12870899309382952</x:v>
      </x:c>
      <x:c r="E38" s="26" t="n">
        <x:f>IF(A38&lt;=$N$7,MAX(C38,$N$6),MAX(C38,$N$6*($N$8-A38)/($N$8-$N$7)))</x:f>
        <x:v>-0.1157333495498536</x:v>
      </x:c>
      <x:c r="F38" s="26" t="n">
        <x:f>IF(A38&lt;=$N$7,1+$N$9*A38/$N$7,$N$10+(A38-$N$7)*($N$12-$N$10)/($N$8-$N$7))</x:f>
        <x:v>1.6932372882393731</x:v>
      </x:c>
      <x:c r="G38" s="26" t="n">
        <x:f>IF(A38&lt;=$N$7,1-$N$9*A38/$N$7,$N$11+(A38-$N$7)*($N$13-$N$11)/($N$8-$N$7))</x:f>
        <x:v>0.30676271176062697</x:v>
      </x:c>
      <x:c r="H38" s="26" t="n">
        <x:f>MIN(F38,B38)</x:f>
        <x:v>0.12870899309382952</x:v>
      </x:c>
      <x:c r="I38" s="26" t="n">
        <x:f>MAX(G38,C38)</x:f>
        <x:v>0.30676271176062697</x:v>
      </x:c>
      <x:c r="J38" s="26" t="n">
        <x:f>MAX(D38,H38)</x:f>
        <x:v>0.12870899309382952</x:v>
      </x:c>
      <x:c r="K38" s="26" t="n">
        <x:f>MIN(E38,I38)</x:f>
        <x:v>-0.1157333495498536</x:v>
      </x:c>
      <x:c r="P38" s="26" t="n">
        <x:v>17</x:v>
      </x:c>
      <x:c r="Q38" s="26" t="n">
        <x:v>0.12870899309382952</x:v>
      </x:c>
      <x:c r="R38" s="26" t="n">
        <x:v>-0.1157333495498536</x:v>
      </x:c>
      <x:c r="S38" s="26" t="n">
        <x:v>0.12870899309382952</x:v>
      </x:c>
      <x:c r="T38" s="26" t="n">
        <x:v>-0.1157333495498536</x:v>
      </x:c>
      <x:c r="U38" s="26" t="n">
        <x:v>1.6932372882393731</x:v>
      </x:c>
      <x:c r="V38" s="26" t="n">
        <x:v>0.30676271176062697</x:v>
      </x:c>
    </x:row>
    <x:row r="39">
      <x:c r="A39" s="26" t="n">
        <x:v>17.5</x:v>
      </x:c>
      <x:c r="B39" s="26" t="n">
        <x:f>(A39/$N$3)^2</x:f>
        <x:v>0.13639145029406677</x:v>
      </x:c>
      <x:c r="C39" s="26" t="n">
        <x:f>0-(A39/$N$4)^2</x:f>
        <x:v>-0.12264130899530334</x:v>
      </x:c>
      <x:c r="D39" s="26" t="n">
        <x:f>MIN(B39,$N$5)</x:f>
        <x:v>0.13639145029406677</x:v>
      </x:c>
      <x:c r="E39" s="26" t="n">
        <x:f>IF(A39&lt;=$N$7,MAX(C39,$N$6),MAX(C39,$N$6*($N$8-A39)/($N$8-$N$7)))</x:f>
        <x:v>-0.12264130899530334</x:v>
      </x:c>
      <x:c r="F39" s="26" t="n">
        <x:f>IF(A39&lt;=$N$7,1+$N$9*A39/$N$7,$N$10+(A39-$N$7)*($N$12-$N$10)/($N$8-$N$7))</x:f>
        <x:v>1.7136266202464134</x:v>
      </x:c>
      <x:c r="G39" s="26" t="n">
        <x:f>IF(A39&lt;=$N$7,1-$N$9*A39/$N$7,$N$11+(A39-$N$7)*($N$13-$N$11)/($N$8-$N$7))</x:f>
        <x:v>0.28637337975358657</x:v>
      </x:c>
      <x:c r="H39" s="26" t="n">
        <x:f>MIN(F39,B39)</x:f>
        <x:v>0.13639145029406677</x:v>
      </x:c>
      <x:c r="I39" s="26" t="n">
        <x:f>MAX(G39,C39)</x:f>
        <x:v>0.28637337975358657</x:v>
      </x:c>
      <x:c r="J39" s="26" t="n">
        <x:f>MAX(D39,H39)</x:f>
        <x:v>0.13639145029406677</x:v>
      </x:c>
      <x:c r="K39" s="26" t="n">
        <x:f>MIN(E39,I39)</x:f>
        <x:v>-0.12264130899530334</x:v>
      </x:c>
      <x:c r="P39" s="26" t="n">
        <x:v>17.5</x:v>
      </x:c>
      <x:c r="Q39" s="26" t="n">
        <x:v>0.13639145029406677</x:v>
      </x:c>
      <x:c r="R39" s="26" t="n">
        <x:v>-0.12264130899530334</x:v>
      </x:c>
      <x:c r="S39" s="26" t="n">
        <x:v>0.13639145029406677</x:v>
      </x:c>
      <x:c r="T39" s="26" t="n">
        <x:v>-0.12264130899530334</x:v>
      </x:c>
      <x:c r="U39" s="26" t="n">
        <x:v>1.7136266202464134</x:v>
      </x:c>
      <x:c r="V39" s="26" t="n">
        <x:v>0.2863733797535867</x:v>
      </x:c>
    </x:row>
    <x:row r="40">
      <x:c r="A40" s="26" t="n">
        <x:v>18</x:v>
      </x:c>
      <x:c r="B40" s="26" t="n">
        <x:f>(A40/$N$3)^2</x:f>
        <x:v>0.14429658741315146</x:v>
      </x:c>
      <x:c r="C40" s="26" t="n">
        <x:f>0-(A40/$N$4)^2</x:f>
        <x:v>-0.12974949914931683</x:v>
      </x:c>
      <x:c r="D40" s="26" t="n">
        <x:f>MIN(B40,$N$5)</x:f>
        <x:v>0.14429658741315146</x:v>
      </x:c>
      <x:c r="E40" s="26" t="n">
        <x:f>IF(A40&lt;=$N$7,MAX(C40,$N$6),MAX(C40,$N$6*($N$8-A40)/($N$8-$N$7)))</x:f>
        <x:v>-0.12974949914931683</x:v>
      </x:c>
      <x:c r="F40" s="26" t="n">
        <x:f>IF(A40&lt;=$N$7,1+$N$9*A40/$N$7,$N$10+(A40-$N$7)*($N$12-$N$10)/($N$8-$N$7))</x:f>
        <x:v>1.7340159522534537</x:v>
      </x:c>
      <x:c r="G40" s="26" t="n">
        <x:f>IF(A40&lt;=$N$7,1-$N$9*A40/$N$7,$N$11+(A40-$N$7)*($N$13-$N$11)/($N$8-$N$7))</x:f>
        <x:v>0.26598404774654616</x:v>
      </x:c>
      <x:c r="H40" s="26" t="n">
        <x:f>MIN(F40,B40)</x:f>
        <x:v>0.14429658741315146</x:v>
      </x:c>
      <x:c r="I40" s="26" t="n">
        <x:f>MAX(G40,C40)</x:f>
        <x:v>0.26598404774654616</x:v>
      </x:c>
      <x:c r="J40" s="26" t="n">
        <x:f>MAX(D40,H40)</x:f>
        <x:v>0.14429658741315146</x:v>
      </x:c>
      <x:c r="K40" s="26" t="n">
        <x:f>MIN(E40,I40)</x:f>
        <x:v>-0.12974949914931683</x:v>
      </x:c>
      <x:c r="P40" s="26" t="n">
        <x:v>18</x:v>
      </x:c>
      <x:c r="Q40" s="26" t="n">
        <x:v>0.14429658741315146</x:v>
      </x:c>
      <x:c r="R40" s="26" t="n">
        <x:v>-0.12974949914931683</x:v>
      </x:c>
      <x:c r="S40" s="26" t="n">
        <x:v>0.14429658741315146</x:v>
      </x:c>
      <x:c r="T40" s="26" t="n">
        <x:v>-0.12974949914931683</x:v>
      </x:c>
      <x:c r="U40" s="26" t="n">
        <x:v>1.7340159522534537</x:v>
      </x:c>
      <x:c r="V40" s="26" t="n">
        <x:v>0.26598404774654627</x:v>
      </x:c>
    </x:row>
    <x:row r="41">
      <x:c r="A41" s="26" t="n">
        <x:v>18.5</x:v>
      </x:c>
      <x:c r="B41" s="26" t="n">
        <x:f>(A41/$N$3)^2</x:f>
        <x:v>0.1524244044510836</x:v>
      </x:c>
      <x:c r="C41" s="26" t="n">
        <x:f>0-(A41/$N$4)^2</x:f>
        <x:v>-0.13705792001189412</x:v>
      </x:c>
      <x:c r="D41" s="26" t="n">
        <x:f>MIN(B41,$N$5)</x:f>
        <x:v>0.1524244044510836</x:v>
      </x:c>
      <x:c r="E41" s="26" t="n">
        <x:f>IF(A41&lt;=$N$7,MAX(C41,$N$6),MAX(C41,$N$6*($N$8-A41)/($N$8-$N$7)))</x:f>
        <x:v>-0.13705792001189412</x:v>
      </x:c>
      <x:c r="F41" s="26" t="n">
        <x:f>IF(A41&lt;=$N$7,1+$N$9*A41/$N$7,$N$10+(A41-$N$7)*($N$12-$N$10)/($N$8-$N$7))</x:f>
        <x:v>1.754405284260494</x:v>
      </x:c>
      <x:c r="G41" s="26" t="n">
        <x:f>IF(A41&lt;=$N$7,1-$N$9*A41/$N$7,$N$11+(A41-$N$7)*($N$13-$N$11)/($N$8-$N$7))</x:f>
        <x:v>0.24559471573950586</x:v>
      </x:c>
      <x:c r="H41" s="26" t="n">
        <x:f>MIN(F41,B41)</x:f>
        <x:v>0.1524244044510836</x:v>
      </x:c>
      <x:c r="I41" s="26" t="n">
        <x:f>MAX(G41,C41)</x:f>
        <x:v>0.24559471573950586</x:v>
      </x:c>
      <x:c r="J41" s="26" t="n">
        <x:f>MAX(D41,H41)</x:f>
        <x:v>0.1524244044510836</x:v>
      </x:c>
      <x:c r="K41" s="26" t="n">
        <x:f>MIN(E41,I41)</x:f>
        <x:v>-0.13705792001189412</x:v>
      </x:c>
      <x:c r="P41" s="26" t="n">
        <x:v>18.5</x:v>
      </x:c>
      <x:c r="Q41" s="26" t="n">
        <x:v>0.1524244044510836</x:v>
      </x:c>
      <x:c r="R41" s="26" t="n">
        <x:v>-0.13705792001189412</x:v>
      </x:c>
      <x:c r="S41" s="26" t="n">
        <x:v>0.1524244044510836</x:v>
      </x:c>
      <x:c r="T41" s="26" t="n">
        <x:v>-0.13705792001189412</x:v>
      </x:c>
      <x:c r="U41" s="26" t="n">
        <x:v>1.754405284260494</x:v>
      </x:c>
      <x:c r="V41" s="26" t="n">
        <x:v>0.24559471573950586</x:v>
      </x:c>
    </x:row>
    <x:row r="42">
      <x:c r="A42" s="26" t="n">
        <x:v>19</x:v>
      </x:c>
      <x:c r="B42" s="26" t="n">
        <x:f>(A42/$N$3)^2</x:f>
        <x:v>0.16077490140786319</x:v>
      </x:c>
      <x:c r="C42" s="26" t="n">
        <x:f>0-(A42/$N$4)^2</x:f>
        <x:v>-0.14456657158303513</x:v>
      </x:c>
      <x:c r="D42" s="26" t="n">
        <x:f>MIN(B42,$N$5)</x:f>
        <x:v>0.16077490140786319</x:v>
      </x:c>
      <x:c r="E42" s="26" t="n">
        <x:f>IF(A42&lt;=$N$7,MAX(C42,$N$6),MAX(C42,$N$6*($N$8-A42)/($N$8-$N$7)))</x:f>
        <x:v>-0.14456657158303513</x:v>
      </x:c>
      <x:c r="F42" s="26" t="n">
        <x:f>IF(A42&lt;=$N$7,1+$N$9*A42/$N$7,$N$10+(A42-$N$7)*($N$12-$N$10)/($N$8-$N$7))</x:f>
        <x:v>1.7747946162675345</x:v>
      </x:c>
      <x:c r="G42" s="26" t="n">
        <x:f>IF(A42&lt;=$N$7,1-$N$9*A42/$N$7,$N$11+(A42-$N$7)*($N$13-$N$11)/($N$8-$N$7))</x:f>
        <x:v>0.22520538373246546</x:v>
      </x:c>
      <x:c r="H42" s="26" t="n">
        <x:f>MIN(F42,B42)</x:f>
        <x:v>0.16077490140786319</x:v>
      </x:c>
      <x:c r="I42" s="26" t="n">
        <x:f>MAX(G42,C42)</x:f>
        <x:v>0.22520538373246546</x:v>
      </x:c>
      <x:c r="J42" s="26" t="n">
        <x:f>MAX(D42,H42)</x:f>
        <x:v>0.16077490140786319</x:v>
      </x:c>
      <x:c r="K42" s="26" t="n">
        <x:f>MIN(E42,I42)</x:f>
        <x:v>-0.14456657158303513</x:v>
      </x:c>
      <x:c r="P42" s="26" t="n">
        <x:v>19</x:v>
      </x:c>
      <x:c r="Q42" s="26" t="n">
        <x:v>0.16077490140786319</x:v>
      </x:c>
      <x:c r="R42" s="26" t="n">
        <x:v>-0.14456657158303513</x:v>
      </x:c>
      <x:c r="S42" s="26" t="n">
        <x:v>0.16077490140786319</x:v>
      </x:c>
      <x:c r="T42" s="26" t="n">
        <x:v>-0.14456657158303513</x:v>
      </x:c>
      <x:c r="U42" s="26" t="n">
        <x:v>1.7747946162675345</x:v>
      </x:c>
      <x:c r="V42" s="26" t="n">
        <x:v>0.22520538373246546</x:v>
      </x:c>
    </x:row>
    <x:row r="43">
      <x:c r="A43" s="26" t="n">
        <x:v>19.5</x:v>
      </x:c>
      <x:c r="B43" s="26" t="n">
        <x:f>(A43/$N$3)^2</x:f>
        <x:v>0.16934807828349022</x:v>
      </x:c>
      <x:c r="C43" s="26" t="n">
        <x:f>0-(A43/$N$4)^2</x:f>
        <x:v>-0.15227545386273988</x:v>
      </x:c>
      <x:c r="D43" s="26" t="n">
        <x:f>MIN(B43,$N$5)</x:f>
        <x:v>0.16934807828349022</x:v>
      </x:c>
      <x:c r="E43" s="26" t="n">
        <x:f>IF(A43&lt;=$N$7,MAX(C43,$N$6),MAX(C43,$N$6*($N$8-A43)/($N$8-$N$7)))</x:f>
        <x:v>-0.15227545386273988</x:v>
      </x:c>
      <x:c r="F43" s="26" t="n">
        <x:f>IF(A43&lt;=$N$7,1+$N$9*A43/$N$7,$N$10+(A43-$N$7)*($N$12-$N$10)/($N$8-$N$7))</x:f>
        <x:v>1.795183948274575</x:v>
      </x:c>
      <x:c r="G43" s="26" t="n">
        <x:f>IF(A43&lt;=$N$7,1-$N$9*A43/$N$7,$N$11+(A43-$N$7)*($N$13-$N$11)/($N$8-$N$7))</x:f>
        <x:v>0.20481605172542505</x:v>
      </x:c>
      <x:c r="H43" s="26" t="n">
        <x:f>MIN(F43,B43)</x:f>
        <x:v>0.16934807828349022</x:v>
      </x:c>
      <x:c r="I43" s="26" t="n">
        <x:f>MAX(G43,C43)</x:f>
        <x:v>0.20481605172542505</x:v>
      </x:c>
      <x:c r="J43" s="26" t="n">
        <x:f>MAX(D43,H43)</x:f>
        <x:v>0.16934807828349022</x:v>
      </x:c>
      <x:c r="K43" s="26" t="n">
        <x:f>MIN(E43,I43)</x:f>
        <x:v>-0.15227545386273988</x:v>
      </x:c>
      <x:c r="P43" s="26" t="n">
        <x:v>19.5</x:v>
      </x:c>
      <x:c r="Q43" s="26" t="n">
        <x:v>0.16934807828349022</x:v>
      </x:c>
      <x:c r="R43" s="26" t="n">
        <x:v>-0.15227545386273988</x:v>
      </x:c>
      <x:c r="S43" s="26" t="n">
        <x:v>0.16934807828349022</x:v>
      </x:c>
      <x:c r="T43" s="26" t="n">
        <x:v>-0.15227545386273988</x:v>
      </x:c>
      <x:c r="U43" s="26" t="n">
        <x:v>1.7951839482745748</x:v>
      </x:c>
      <x:c r="V43" s="26" t="n">
        <x:v>0.20481605172542516</x:v>
      </x:c>
    </x:row>
    <x:row r="44">
      <x:c r="A44" s="26" t="n">
        <x:v>20</x:v>
      </x:c>
      <x:c r="B44" s="26" t="n">
        <x:f>(A44/$N$3)^2</x:f>
        <x:v>0.17814393507796472</x:v>
      </x:c>
      <x:c r="C44" s="26" t="n">
        <x:f>0-(A44/$N$4)^2</x:f>
        <x:v>-0.16018456685100846</x:v>
      </x:c>
      <x:c r="D44" s="26" t="n">
        <x:f>MIN(B44,$N$5)</x:f>
        <x:v>0.17814393507796472</x:v>
      </x:c>
      <x:c r="E44" s="26" t="n">
        <x:f>IF(A44&lt;=$N$7,MAX(C44,$N$6),MAX(C44,$N$6*($N$8-A44)/($N$8-$N$7)))</x:f>
        <x:v>-0.16018456685100846</x:v>
      </x:c>
      <x:c r="F44" s="26" t="n">
        <x:f>IF(A44&lt;=$N$7,1+$N$9*A44/$N$7,$N$10+(A44-$N$7)*($N$12-$N$10)/($N$8-$N$7))</x:f>
        <x:v>1.8155732802816154</x:v>
      </x:c>
      <x:c r="G44" s="26" t="n">
        <x:f>IF(A44&lt;=$N$7,1-$N$9*A44/$N$7,$N$11+(A44-$N$7)*($N$13-$N$11)/($N$8-$N$7))</x:f>
        <x:v>0.18442671971838465</x:v>
      </x:c>
      <x:c r="H44" s="26" t="n">
        <x:f>MIN(F44,B44)</x:f>
        <x:v>0.17814393507796472</x:v>
      </x:c>
      <x:c r="I44" s="26" t="n">
        <x:f>MAX(G44,C44)</x:f>
        <x:v>0.18442671971838465</x:v>
      </x:c>
      <x:c r="J44" s="26" t="n">
        <x:f>MAX(D44,H44)</x:f>
        <x:v>0.17814393507796472</x:v>
      </x:c>
      <x:c r="K44" s="26" t="n">
        <x:f>MIN(E44,I44)</x:f>
        <x:v>-0.16018456685100846</x:v>
      </x:c>
      <x:c r="P44" s="26" t="n">
        <x:v>20</x:v>
      </x:c>
      <x:c r="Q44" s="26" t="n">
        <x:v>0.17814393507796472</x:v>
      </x:c>
      <x:c r="R44" s="26" t="n">
        <x:v>-0.16018456685100846</x:v>
      </x:c>
      <x:c r="S44" s="26" t="n">
        <x:v>0.17814393507796472</x:v>
      </x:c>
      <x:c r="T44" s="26" t="n">
        <x:v>-0.16018456685100846</x:v>
      </x:c>
      <x:c r="U44" s="26" t="n">
        <x:v>1.8155732802816154</x:v>
      </x:c>
      <x:c r="V44" s="26" t="n">
        <x:v>0.18442671971838476</x:v>
      </x:c>
    </x:row>
    <x:row r="45">
      <x:c r="A45" s="26" t="n">
        <x:v>20.5</x:v>
      </x:c>
      <x:c r="B45" s="26" t="n">
        <x:f>(A45/$N$3)^2</x:f>
        <x:v>0.1871624717912867</x:v>
      </x:c>
      <x:c r="C45" s="26" t="n">
        <x:f>0-(A45/$N$4)^2</x:f>
        <x:v>-0.16829391054784076</x:v>
      </x:c>
      <x:c r="D45" s="26" t="n">
        <x:f>MIN(B45,$N$5)</x:f>
        <x:v>0.1871624717912867</x:v>
      </x:c>
      <x:c r="E45" s="26" t="n">
        <x:f>IF(A45&lt;=$N$7,MAX(C45,$N$6),MAX(C45,$N$6*($N$8-A45)/($N$8-$N$7)))</x:f>
        <x:v>-0.16829391054784076</x:v>
      </x:c>
      <x:c r="F45" s="26" t="n">
        <x:f>IF(A45&lt;=$N$7,1+$N$9*A45/$N$7,$N$10+(A45-$N$7)*($N$12-$N$10)/($N$8-$N$7))</x:f>
        <x:v>1.8359626122886556</x:v>
      </x:c>
      <x:c r="G45" s="26" t="n">
        <x:f>IF(A45&lt;=$N$7,1-$N$9*A45/$N$7,$N$11+(A45-$N$7)*($N$13-$N$11)/($N$8-$N$7))</x:f>
        <x:v>0.16403738771134435</x:v>
      </x:c>
      <x:c r="H45" s="26" t="n">
        <x:f>MIN(F45,B45)</x:f>
        <x:v>0.1871624717912867</x:v>
      </x:c>
      <x:c r="I45" s="26" t="n">
        <x:f>MAX(G45,C45)</x:f>
        <x:v>0.16403738771134435</x:v>
      </x:c>
      <x:c r="J45" s="26" t="n">
        <x:f>MAX(D45,H45)</x:f>
        <x:v>0.1871624717912867</x:v>
      </x:c>
      <x:c r="K45" s="26" t="n">
        <x:f>MIN(E45,I45)</x:f>
        <x:v>-0.16829391054784076</x:v>
      </x:c>
      <x:c r="P45" s="26" t="n">
        <x:v>20.5</x:v>
      </x:c>
      <x:c r="Q45" s="26" t="n">
        <x:v>0.1871624717912867</x:v>
      </x:c>
      <x:c r="R45" s="26" t="n">
        <x:v>-0.16829391054784076</x:v>
      </x:c>
      <x:c r="S45" s="26" t="n">
        <x:v>0.1871624717912867</x:v>
      </x:c>
      <x:c r="T45" s="26" t="n">
        <x:v>-0.16829391054784076</x:v>
      </x:c>
      <x:c r="U45" s="26" t="n">
        <x:v>1.8359626122886556</x:v>
      </x:c>
      <x:c r="V45" s="26" t="n">
        <x:v>0.16403738771134435</x:v>
      </x:c>
    </x:row>
    <x:row r="46">
      <x:c r="A46" s="26" t="n">
        <x:v>21</x:v>
      </x:c>
      <x:c r="B46" s="26" t="n">
        <x:f>(A46/$N$3)^2</x:f>
        <x:v>0.19640368842345612</x:v>
      </x:c>
      <x:c r="C46" s="26" t="n">
        <x:f>0-(A46/$N$4)^2</x:f>
        <x:v>-0.1766034849532368</x:v>
      </x:c>
      <x:c r="D46" s="26" t="n">
        <x:f>MIN(B46,$N$5)</x:f>
        <x:v>0.19640368842345612</x:v>
      </x:c>
      <x:c r="E46" s="26" t="n">
        <x:f>IF(A46&lt;=$N$7,MAX(C46,$N$6),MAX(C46,$N$6*($N$8-A46)/($N$8-$N$7)))</x:f>
        <x:v>-0.1766034849532368</x:v>
      </x:c>
      <x:c r="F46" s="26" t="n">
        <x:f>IF(A46&lt;=$N$7,1+$N$9*A46/$N$7,$N$10+(A46-$N$7)*($N$12-$N$10)/($N$8-$N$7))</x:f>
        <x:v>1.856351944295696</x:v>
      </x:c>
      <x:c r="G46" s="26" t="n">
        <x:f>IF(A46&lt;=$N$7,1-$N$9*A46/$N$7,$N$11+(A46-$N$7)*($N$13-$N$11)/($N$8-$N$7))</x:f>
        <x:v>0.14364805570430395</x:v>
      </x:c>
      <x:c r="H46" s="26" t="n">
        <x:f>MIN(F46,B46)</x:f>
        <x:v>0.19640368842345612</x:v>
      </x:c>
      <x:c r="I46" s="26" t="n">
        <x:f>MAX(G46,C46)</x:f>
        <x:v>0.14364805570430395</x:v>
      </x:c>
      <x:c r="J46" s="26" t="n">
        <x:f>MAX(D46,H46)</x:f>
        <x:v>0.19640368842345612</x:v>
      </x:c>
      <x:c r="K46" s="26" t="n">
        <x:f>MIN(E46,I46)</x:f>
        <x:v>-0.1766034849532368</x:v>
      </x:c>
      <x:c r="P46" s="26" t="n">
        <x:v>21</x:v>
      </x:c>
      <x:c r="Q46" s="26" t="n">
        <x:v>0.19640368842345612</x:v>
      </x:c>
      <x:c r="R46" s="26" t="n">
        <x:v>-0.1766034849532368</x:v>
      </x:c>
      <x:c r="S46" s="26" t="n">
        <x:v>0.19640368842345612</x:v>
      </x:c>
      <x:c r="T46" s="26" t="n">
        <x:v>-0.1766034849532368</x:v>
      </x:c>
      <x:c r="U46" s="26" t="n">
        <x:v>1.856351944295696</x:v>
      </x:c>
      <x:c r="V46" s="26" t="n">
        <x:v>0.14364805570430395</x:v>
      </x:c>
    </x:row>
    <x:row r="47">
      <x:c r="A47" s="26" t="n">
        <x:v>21.5</x:v>
      </x:c>
      <x:c r="B47" s="26" t="n">
        <x:f>(A47/$N$3)^2</x:f>
        <x:v>0.205867584974473</x:v>
      </x:c>
      <x:c r="C47" s="26" t="n">
        <x:f>0-(A47/$N$4)^2</x:f>
        <x:v>-0.18511329006719662</x:v>
      </x:c>
      <x:c r="D47" s="26" t="n">
        <x:f>MIN(B47,$N$5)</x:f>
        <x:v>0.205867584974473</x:v>
      </x:c>
      <x:c r="E47" s="26" t="n">
        <x:f>IF(A47&lt;=$N$7,MAX(C47,$N$6),MAX(C47,$N$6*($N$8-A47)/($N$8-$N$7)))</x:f>
        <x:v>-0.18511329006719662</x:v>
      </x:c>
      <x:c r="F47" s="26" t="n">
        <x:f>IF(A47&lt;=$N$7,1+$N$9*A47/$N$7,$N$10+(A47-$N$7)*($N$12-$N$10)/($N$8-$N$7))</x:f>
        <x:v>1.8767412763027362</x:v>
      </x:c>
      <x:c r="G47" s="26" t="n">
        <x:f>IF(A47&lt;=$N$7,1-$N$9*A47/$N$7,$N$11+(A47-$N$7)*($N$13-$N$11)/($N$8-$N$7))</x:f>
        <x:v>0.12325872369726365</x:v>
      </x:c>
      <x:c r="H47" s="26" t="n">
        <x:f>MIN(F47,B47)</x:f>
        <x:v>0.205867584974473</x:v>
      </x:c>
      <x:c r="I47" s="26" t="n">
        <x:f>MAX(G47,C47)</x:f>
        <x:v>0.12325872369726365</x:v>
      </x:c>
      <x:c r="J47" s="26" t="n">
        <x:f>MAX(D47,H47)</x:f>
        <x:v>0.205867584974473</x:v>
      </x:c>
      <x:c r="K47" s="26" t="n">
        <x:f>MIN(E47,I47)</x:f>
        <x:v>-0.18511329006719662</x:v>
      </x:c>
      <x:c r="P47" s="26" t="n">
        <x:v>21.5</x:v>
      </x:c>
      <x:c r="Q47" s="26" t="n">
        <x:v>0.205867584974473</x:v>
      </x:c>
      <x:c r="R47" s="26" t="n">
        <x:v>-0.18511329006719662</x:v>
      </x:c>
      <x:c r="S47" s="26" t="n">
        <x:v>0.205867584974473</x:v>
      </x:c>
      <x:c r="T47" s="26" t="n">
        <x:v>-0.18511329006719662</x:v>
      </x:c>
      <x:c r="U47" s="26" t="n">
        <x:v>1.8767412763027365</x:v>
      </x:c>
      <x:c r="V47" s="26" t="n">
        <x:v>0.12325872369726354</x:v>
      </x:c>
    </x:row>
    <x:row r="48">
      <x:c r="A48" s="26" t="n">
        <x:v>22</x:v>
      </x:c>
      <x:c r="B48" s="26" t="n">
        <x:f>(A48/$N$3)^2</x:f>
        <x:v>0.21555416144433734</x:v>
      </x:c>
      <x:c r="C48" s="26" t="n">
        <x:f>0-(A48/$N$4)^2</x:f>
        <x:v>-0.19382332588972023</x:v>
      </x:c>
      <x:c r="D48" s="26" t="n">
        <x:f>MIN(B48,$N$5)</x:f>
        <x:v>0.21555416144433734</x:v>
      </x:c>
      <x:c r="E48" s="26" t="n">
        <x:f>IF(A48&lt;=$N$7,MAX(C48,$N$6),MAX(C48,$N$6*($N$8-A48)/($N$8-$N$7)))</x:f>
        <x:v>-0.19382332588972023</x:v>
      </x:c>
      <x:c r="F48" s="26" t="n">
        <x:f>IF(A48&lt;=$N$7,1+$N$9*A48/$N$7,$N$10+(A48-$N$7)*($N$12-$N$10)/($N$8-$N$7))</x:f>
        <x:v>1.8971306083097768</x:v>
      </x:c>
      <x:c r="G48" s="26" t="n">
        <x:f>IF(A48&lt;=$N$7,1-$N$9*A48/$N$7,$N$11+(A48-$N$7)*($N$13-$N$11)/($N$8-$N$7))</x:f>
        <x:v>0.10286939169022324</x:v>
      </x:c>
      <x:c r="H48" s="26" t="n">
        <x:f>MIN(F48,B48)</x:f>
        <x:v>0.21555416144433734</x:v>
      </x:c>
      <x:c r="I48" s="26" t="n">
        <x:f>MAX(G48,C48)</x:f>
        <x:v>0.10286939169022324</x:v>
      </x:c>
      <x:c r="J48" s="26" t="n">
        <x:f>MAX(D48,H48)</x:f>
        <x:v>0.21555416144433734</x:v>
      </x:c>
      <x:c r="K48" s="26" t="n">
        <x:f>MIN(E48,I48)</x:f>
        <x:v>-0.19382332588972023</x:v>
      </x:c>
      <x:c r="P48" s="26" t="n">
        <x:v>22</x:v>
      </x:c>
      <x:c r="Q48" s="26" t="n">
        <x:v>0.21555416144433734</x:v>
      </x:c>
      <x:c r="R48" s="26" t="n">
        <x:v>-0.19382332588972023</x:v>
      </x:c>
      <x:c r="S48" s="26" t="n">
        <x:v>0.21555416144433734</x:v>
      </x:c>
      <x:c r="T48" s="26" t="n">
        <x:v>-0.19382332588972023</x:v>
      </x:c>
      <x:c r="U48" s="26" t="n">
        <x:v>1.8971306083097768</x:v>
      </x:c>
      <x:c r="V48" s="26" t="n">
        <x:v>0.10286939169022324</x:v>
      </x:c>
    </x:row>
    <x:row r="49">
      <x:c r="A49" s="26" t="n">
        <x:v>22.5</x:v>
      </x:c>
      <x:c r="B49" s="26" t="n">
        <x:f>(A49/$N$3)^2</x:f>
        <x:v>0.22546341783304913</x:v>
      </x:c>
      <x:c r="C49" s="26" t="n">
        <x:f>0-(A49/$N$4)^2</x:f>
        <x:v>-0.20273359242080757</x:v>
      </x:c>
      <x:c r="D49" s="26" t="n">
        <x:f>MIN(B49,$N$5)</x:f>
        <x:v>0.22546341783304913</x:v>
      </x:c>
      <x:c r="E49" s="26" t="n">
        <x:f>IF(A49&lt;=$N$7,MAX(C49,$N$6),MAX(C49,$N$6*($N$8-A49)/($N$8-$N$7)))</x:f>
        <x:v>-0.20273359242080757</x:v>
      </x:c>
      <x:c r="F49" s="26" t="n">
        <x:f>IF(A49&lt;=$N$7,1+$N$9*A49/$N$7,$N$10+(A49-$N$7)*($N$12-$N$10)/($N$8-$N$7))</x:f>
        <x:v>1.9175199403168173</x:v>
      </x:c>
      <x:c r="G49" s="26" t="n">
        <x:f>IF(A49&lt;=$N$7,1-$N$9*A49/$N$7,$N$11+(A49-$N$7)*($N$13-$N$11)/($N$8-$N$7))</x:f>
        <x:v>0.08248005968318273</x:v>
      </x:c>
      <x:c r="H49" s="26" t="n">
        <x:f>MIN(F49,B49)</x:f>
        <x:v>0.22546341783304913</x:v>
      </x:c>
      <x:c r="I49" s="26" t="n">
        <x:f>MAX(G49,C49)</x:f>
        <x:v>0.08248005968318273</x:v>
      </x:c>
      <x:c r="J49" s="26" t="n">
        <x:f>MAX(D49,H49)</x:f>
        <x:v>0.22546341783304913</x:v>
      </x:c>
      <x:c r="K49" s="26" t="n">
        <x:f>MIN(E49,I49)</x:f>
        <x:v>-0.20273359242080757</x:v>
      </x:c>
      <x:c r="P49" s="26" t="n">
        <x:v>22.5</x:v>
      </x:c>
      <x:c r="Q49" s="26" t="n">
        <x:v>0.22546341783304913</x:v>
      </x:c>
      <x:c r="R49" s="26" t="n">
        <x:v>-0.20273359242080757</x:v>
      </x:c>
      <x:c r="S49" s="26" t="n">
        <x:v>0.22546341783304913</x:v>
      </x:c>
      <x:c r="T49" s="26" t="n">
        <x:v>-0.20273359242080757</x:v>
      </x:c>
      <x:c r="U49" s="26" t="n">
        <x:v>1.9175199403168173</x:v>
      </x:c>
      <x:c r="V49" s="26" t="n">
        <x:v>0.08248005968318284</x:v>
      </x:c>
    </x:row>
    <x:row r="50">
      <x:c r="A50" s="26" t="n">
        <x:v>23</x:v>
      </x:c>
      <x:c r="B50" s="26" t="n">
        <x:f>(A50/$N$3)^2</x:f>
        <x:v>0.23559535414060837</x:v>
      </x:c>
      <x:c r="C50" s="26" t="n">
        <x:f>0-(A50/$N$4)^2</x:f>
        <x:v>-0.21184408966045867</x:v>
      </x:c>
      <x:c r="D50" s="26" t="n">
        <x:f>MIN(B50,$N$5)</x:f>
        <x:v>0.23559535414060837</x:v>
      </x:c>
      <x:c r="E50" s="26" t="n">
        <x:f>IF(A50&lt;=$N$7,MAX(C50,$N$6),MAX(C50,$N$6*($N$8-A50)/($N$8-$N$7)))</x:f>
        <x:v>-0.21184408966045867</x:v>
      </x:c>
      <x:c r="F50" s="26" t="n">
        <x:f>IF(A50&lt;=$N$7,1+$N$9*A50/$N$7,$N$10+(A50-$N$7)*($N$12-$N$10)/($N$8-$N$7))</x:f>
        <x:v>1.9379092723238576</x:v>
      </x:c>
      <x:c r="G50" s="26" t="n">
        <x:f>IF(A50&lt;=$N$7,1-$N$9*A50/$N$7,$N$11+(A50-$N$7)*($N$13-$N$11)/($N$8-$N$7))</x:f>
        <x:v>0.06209072767614232</x:v>
      </x:c>
      <x:c r="H50" s="26" t="n">
        <x:f>MIN(F50,B50)</x:f>
        <x:v>0.23559535414060837</x:v>
      </x:c>
      <x:c r="I50" s="26" t="n">
        <x:f>MAX(G50,C50)</x:f>
        <x:v>0.06209072767614232</x:v>
      </x:c>
      <x:c r="J50" s="26" t="n">
        <x:f>MAX(D50,H50)</x:f>
        <x:v>0.23559535414060837</x:v>
      </x:c>
      <x:c r="K50" s="26" t="n">
        <x:f>MIN(E50,I50)</x:f>
        <x:v>-0.21184408966045867</x:v>
      </x:c>
      <x:c r="P50" s="26" t="n">
        <x:v>23</x:v>
      </x:c>
      <x:c r="Q50" s="26" t="n">
        <x:v>0.23559535414060837</x:v>
      </x:c>
      <x:c r="R50" s="26" t="n">
        <x:v>-0.21184408966045867</x:v>
      </x:c>
      <x:c r="S50" s="26" t="n">
        <x:v>0.23559535414060837</x:v>
      </x:c>
      <x:c r="T50" s="26" t="n">
        <x:v>-0.21184408966045867</x:v>
      </x:c>
      <x:c r="U50" s="26" t="n">
        <x:v>1.9379092723238576</x:v>
      </x:c>
      <x:c r="V50" s="26" t="n">
        <x:v>0.06209072767614243</x:v>
      </x:c>
    </x:row>
    <x:row r="51">
      <x:c r="A51" s="26" t="n">
        <x:v>23.5</x:v>
      </x:c>
      <x:c r="B51" s="26" t="n">
        <x:f>(A51/$N$3)^2</x:f>
        <x:v>0.24594997036701507</x:v>
      </x:c>
      <x:c r="C51" s="26" t="n">
        <x:f>0-(A51/$N$4)^2</x:f>
        <x:v>-0.22115481760867356</x:v>
      </x:c>
      <x:c r="D51" s="26" t="n">
        <x:f>MIN(B51,$N$5)</x:f>
        <x:v>0.24594997036701507</x:v>
      </x:c>
      <x:c r="E51" s="26" t="n">
        <x:f>IF(A51&lt;=$N$7,MAX(C51,$N$6),MAX(C51,$N$6*($N$8-A51)/($N$8-$N$7)))</x:f>
        <x:v>-0.22115481760867356</x:v>
      </x:c>
      <x:c r="F51" s="26" t="n">
        <x:f>IF(A51&lt;=$N$7,1+$N$9*A51/$N$7,$N$10+(A51-$N$7)*($N$12-$N$10)/($N$8-$N$7))</x:f>
        <x:v>1.958298604330898</x:v>
      </x:c>
      <x:c r="G51" s="26" t="n">
        <x:f>IF(A51&lt;=$N$7,1-$N$9*A51/$N$7,$N$11+(A51-$N$7)*($N$13-$N$11)/($N$8-$N$7))</x:f>
        <x:v>0.041701395669101915</x:v>
      </x:c>
      <x:c r="H51" s="26" t="n">
        <x:f>MIN(F51,B51)</x:f>
        <x:v>0.24594997036701507</x:v>
      </x:c>
      <x:c r="I51" s="26" t="n">
        <x:f>MAX(G51,C51)</x:f>
        <x:v>0.041701395669101915</x:v>
      </x:c>
      <x:c r="J51" s="26" t="n">
        <x:f>MAX(D51,H51)</x:f>
        <x:v>0.24594997036701507</x:v>
      </x:c>
      <x:c r="K51" s="26" t="n">
        <x:f>MIN(E51,I51)</x:f>
        <x:v>-0.22115481760867356</x:v>
      </x:c>
      <x:c r="P51" s="26" t="n">
        <x:v>23.5</x:v>
      </x:c>
      <x:c r="Q51" s="26" t="n">
        <x:v>0.24594997036701507</x:v>
      </x:c>
      <x:c r="R51" s="26" t="n">
        <x:v>-0.22115481760867356</x:v>
      </x:c>
      <x:c r="S51" s="26" t="n">
        <x:v>0.24594997036701507</x:v>
      </x:c>
      <x:c r="T51" s="26" t="n">
        <x:v>-0.22115481760867356</x:v>
      </x:c>
      <x:c r="U51" s="26" t="n">
        <x:v>1.9582986043308979</x:v>
      </x:c>
      <x:c r="V51" s="26" t="n">
        <x:v>0.041701395669102026</x:v>
      </x:c>
    </x:row>
    <x:row r="52">
      <x:c r="A52" s="26" t="n">
        <x:v>24</x:v>
      </x:c>
      <x:c r="B52" s="26" t="n">
        <x:f>(A52/$N$3)^2</x:f>
        <x:v>0.25652726651226926</x:v>
      </x:c>
      <x:c r="C52" s="26" t="n">
        <x:f>0-(A52/$N$4)^2</x:f>
        <x:v>-0.23066577626545218</x:v>
      </x:c>
      <x:c r="D52" s="26" t="n">
        <x:f>MIN(B52,$N$5)</x:f>
        <x:v>0.25652726651226926</x:v>
      </x:c>
      <x:c r="E52" s="26" t="n">
        <x:f>IF(A52&lt;=$N$7,MAX(C52,$N$6),MAX(C52,$N$6*($N$8-A52)/($N$8-$N$7)))</x:f>
        <x:v>-0.23066577626545218</x:v>
      </x:c>
      <x:c r="F52" s="26" t="n">
        <x:f>IF(A52&lt;=$N$7,1+$N$9*A52/$N$7,$N$10+(A52-$N$7)*($N$12-$N$10)/($N$8-$N$7))</x:f>
        <x:v>1.9786879363379382</x:v>
      </x:c>
      <x:c r="G52" s="26" t="n">
        <x:f>IF(A52&lt;=$N$7,1-$N$9*A52/$N$7,$N$11+(A52-$N$7)*($N$13-$N$11)/($N$8-$N$7))</x:f>
        <x:v>0.02131206366206173</x:v>
      </x:c>
      <x:c r="H52" s="26" t="n">
        <x:f>MIN(F52,B52)</x:f>
        <x:v>0.25652726651226926</x:v>
      </x:c>
      <x:c r="I52" s="26" t="n">
        <x:f>MAX(G52,C52)</x:f>
        <x:v>0.02131206366206173</x:v>
      </x:c>
      <x:c r="J52" s="26" t="n">
        <x:f>MAX(D52,H52)</x:f>
        <x:v>0.25652726651226926</x:v>
      </x:c>
      <x:c r="K52" s="26" t="n">
        <x:f>MIN(E52,I52)</x:f>
        <x:v>-0.23066577626545218</x:v>
      </x:c>
      <x:c r="P52" s="26" t="n">
        <x:v>24</x:v>
      </x:c>
      <x:c r="Q52" s="26" t="n">
        <x:v>0.25652726651226926</x:v>
      </x:c>
      <x:c r="R52" s="26" t="n">
        <x:v>-0.23066577626545218</x:v>
      </x:c>
      <x:c r="S52" s="26" t="n">
        <x:v>0.25652726651226926</x:v>
      </x:c>
      <x:c r="T52" s="26" t="n">
        <x:v>-0.23066577626545218</x:v>
      </x:c>
      <x:c r="U52" s="26" t="n">
        <x:v>1.9786879363379384</x:v>
      </x:c>
      <x:c r="V52" s="26" t="n">
        <x:v>0.02131206366206162</x:v>
      </x:c>
    </x:row>
    <x:row r="53">
      <x:c r="A53" s="26" t="n">
        <x:v>24.5</x:v>
      </x:c>
      <x:c r="B53" s="26" t="n">
        <x:f>(A53/$N$3)^2</x:f>
        <x:v>0.2673272425763708</x:v>
      </x:c>
      <x:c r="C53" s="26" t="n">
        <x:f>0-(A53/$N$4)^2</x:f>
        <x:v>-0.24037696563079455</x:v>
      </x:c>
      <x:c r="D53" s="26" t="n">
        <x:f>MIN(B53,$N$5)</x:f>
        <x:v>0.2673272425763708</x:v>
      </x:c>
      <x:c r="E53" s="26" t="n">
        <x:f>IF(A53&lt;=$N$7,MAX(C53,$N$6),MAX(C53,$N$6*($N$8-A53)/($N$8-$N$7)))</x:f>
        <x:v>-0.24037696563079455</x:v>
      </x:c>
      <x:c r="F53" s="26" t="n">
        <x:f>IF(A53&lt;=$N$7,1+$N$9*A53/$N$7,$N$10+(A53-$N$7)*($N$12-$N$10)/($N$8-$N$7))</x:f>
        <x:v>1.9990772683449787</x:v>
      </x:c>
      <x:c r="G53" s="26" t="n">
        <x:f>IF(A53&lt;=$N$7,1-$N$9*A53/$N$7,$N$11+(A53-$N$7)*($N$13-$N$11)/($N$8-$N$7))</x:f>
        <x:v>0.0009227316550213249</x:v>
      </x:c>
      <x:c r="H53" s="26" t="n">
        <x:f>MIN(F53,B53)</x:f>
        <x:v>0.2673272425763708</x:v>
      </x:c>
      <x:c r="I53" s="26" t="n">
        <x:f>MAX(G53,C53)</x:f>
        <x:v>0.0009227316550213249</x:v>
      </x:c>
      <x:c r="J53" s="26" t="n">
        <x:f>MAX(D53,H53)</x:f>
        <x:v>0.2673272425763708</x:v>
      </x:c>
      <x:c r="K53" s="26" t="n">
        <x:f>MIN(E53,I53)</x:f>
        <x:v>-0.24037696563079455</x:v>
      </x:c>
      <x:c r="P53" s="26" t="n">
        <x:v>24.5</x:v>
      </x:c>
      <x:c r="Q53" s="26" t="n">
        <x:v>0.2673272425763708</x:v>
      </x:c>
      <x:c r="R53" s="26" t="n">
        <x:v>-0.24037696563079455</x:v>
      </x:c>
      <x:c r="S53" s="26" t="n">
        <x:v>0.2673272425763708</x:v>
      </x:c>
      <x:c r="T53" s="26" t="n">
        <x:v>-0.24037696563079455</x:v>
      </x:c>
      <x:c r="U53" s="26" t="n">
        <x:v>1.9990772683449787</x:v>
      </x:c>
      <x:c r="V53" s="26" t="n">
        <x:v>0.0009227316550213249</x:v>
      </x:c>
    </x:row>
    <x:row r="54">
      <x:c r="A54" s="26" t="n">
        <x:v>25</x:v>
      </x:c>
      <x:c r="B54" s="26" t="n">
        <x:f>(A54/$N$3)^2</x:f>
        <x:v>0.2783498985593199</x:v>
      </x:c>
      <x:c r="C54" s="26" t="n">
        <x:f>0-(A54/$N$4)^2</x:f>
        <x:v>-0.2502883857047007</x:v>
      </x:c>
      <x:c r="D54" s="26" t="n">
        <x:f>MIN(B54,$N$5)</x:f>
        <x:v>0.2783498985593199</x:v>
      </x:c>
      <x:c r="E54" s="26" t="n">
        <x:f>IF(A54&lt;=$N$7,MAX(C54,$N$6),MAX(C54,$N$6*($N$8-A54)/($N$8-$N$7)))</x:f>
        <x:v>-0.2502883857047007</x:v>
      </x:c>
      <x:c r="F54" s="26" t="n">
        <x:f>IF(A54&lt;=$N$7,1+$N$9*A54/$N$7,$N$10+(A54-$N$7)*($N$12-$N$10)/($N$8-$N$7))</x:f>
        <x:v>2.019466600352019</x:v>
      </x:c>
      <x:c r="G54" s="26" t="n">
        <x:f>IF(A54&lt;=$N$7,1-$N$9*A54/$N$7,$N$11+(A54-$N$7)*($N$13-$N$11)/($N$8-$N$7))</x:f>
        <x:v>-0.01946660035201897</x:v>
      </x:c>
      <x:c r="H54" s="26" t="n">
        <x:f>MIN(F54,B54)</x:f>
        <x:v>0.2783498985593199</x:v>
      </x:c>
      <x:c r="I54" s="26" t="n">
        <x:f>MAX(G54,C54)</x:f>
        <x:v>-0.01946660035201897</x:v>
      </x:c>
      <x:c r="J54" s="26" t="n">
        <x:f>MAX(D54,H54)</x:f>
        <x:v>0.2783498985593199</x:v>
      </x:c>
      <x:c r="K54" s="26" t="n">
        <x:f>MIN(E54,I54)</x:f>
        <x:v>-0.2502883857047007</x:v>
      </x:c>
      <x:c r="P54" s="26" t="n">
        <x:v>25</x:v>
      </x:c>
      <x:c r="Q54" s="26" t="n">
        <x:v>0.2783498985593199</x:v>
      </x:c>
      <x:c r="R54" s="26" t="n">
        <x:v>-0.2502883857047007</x:v>
      </x:c>
      <x:c r="S54" s="26" t="n">
        <x:v>0.2783498985593199</x:v>
      </x:c>
      <x:c r="T54" s="26" t="n">
        <x:v>-0.2502883857047007</x:v>
      </x:c>
      <x:c r="U54" s="26" t="n">
        <x:v>2.019466600352019</x:v>
      </x:c>
      <x:c r="V54" s="26" t="n">
        <x:v>-0.019466600352019192</x:v>
      </x:c>
    </x:row>
    <x:row r="55">
      <x:c r="A55" s="26" t="n">
        <x:v>25.5</x:v>
      </x:c>
      <x:c r="B55" s="26" t="n">
        <x:f>(A55/$N$3)^2</x:f>
        <x:v>0.2895952344611164</x:v>
      </x:c>
      <x:c r="C55" s="26" t="n">
        <x:f>0-(A55/$N$4)^2</x:f>
        <x:v>-0.26040003648717064</x:v>
      </x:c>
      <x:c r="D55" s="26" t="n">
        <x:f>MIN(B55,$N$5)</x:f>
        <x:v>0.2895952344611164</x:v>
      </x:c>
      <x:c r="E55" s="26" t="n">
        <x:f>IF(A55&lt;=$N$7,MAX(C55,$N$6),MAX(C55,$N$6*($N$8-A55)/($N$8-$N$7)))</x:f>
        <x:v>-0.26040003648717064</x:v>
      </x:c>
      <x:c r="F55" s="26" t="n">
        <x:f>IF(A55&lt;=$N$7,1+$N$9*A55/$N$7,$N$10+(A55-$N$7)*($N$12-$N$10)/($N$8-$N$7))</x:f>
        <x:v>2.0398559323590595</x:v>
      </x:c>
      <x:c r="G55" s="26" t="n">
        <x:f>IF(A55&lt;=$N$7,1-$N$9*A55/$N$7,$N$11+(A55-$N$7)*($N$13-$N$11)/($N$8-$N$7))</x:f>
        <x:v>-0.03985593235905949</x:v>
      </x:c>
      <x:c r="H55" s="26" t="n">
        <x:f>MIN(F55,B55)</x:f>
        <x:v>0.2895952344611164</x:v>
      </x:c>
      <x:c r="I55" s="26" t="n">
        <x:f>MAX(G55,C55)</x:f>
        <x:v>-0.03985593235905949</x:v>
      </x:c>
      <x:c r="J55" s="26" t="n">
        <x:f>MAX(D55,H55)</x:f>
        <x:v>0.2895952344611164</x:v>
      </x:c>
      <x:c r="K55" s="26" t="n">
        <x:f>MIN(E55,I55)</x:f>
        <x:v>-0.26040003648717064</x:v>
      </x:c>
      <x:c r="P55" s="26" t="n">
        <x:v>25.5</x:v>
      </x:c>
      <x:c r="Q55" s="26" t="n">
        <x:v>0.2895952344611164</x:v>
      </x:c>
      <x:c r="R55" s="26" t="n">
        <x:v>-0.26040003648717064</x:v>
      </x:c>
      <x:c r="S55" s="26" t="n">
        <x:v>0.2895952344611164</x:v>
      </x:c>
      <x:c r="T55" s="26" t="n">
        <x:v>-0.26040003648717064</x:v>
      </x:c>
      <x:c r="U55" s="26" t="n">
        <x:v>2.0398559323590595</x:v>
      </x:c>
      <x:c r="V55" s="26" t="n">
        <x:v>-0.03985593235905949</x:v>
      </x:c>
    </x:row>
    <x:row r="56">
      <x:c r="A56" s="26" t="n">
        <x:v>26</x:v>
      </x:c>
      <x:c r="B56" s="26" t="n">
        <x:f>(A56/$N$3)^2</x:f>
        <x:v>0.30106325028176045</x:v>
      </x:c>
      <x:c r="C56" s="26" t="n">
        <x:f>0-(A56/$N$4)^2</x:f>
        <x:v>-0.2707119179782043</x:v>
      </x:c>
      <x:c r="D56" s="26" t="n">
        <x:f>MIN(B56,$N$5)</x:f>
        <x:v>0.30106325028176045</x:v>
      </x:c>
      <x:c r="E56" s="26" t="n">
        <x:f>IF(A56&lt;=$N$7,MAX(C56,$N$6),MAX(C56,$N$6*($N$8-A56)/($N$8-$N$7)))</x:f>
        <x:v>-0.2707119179782043</x:v>
      </x:c>
      <x:c r="F56" s="26" t="n">
        <x:f>IF(A56&lt;=$N$7,1+$N$9*A56/$N$7,$N$10+(A56-$N$7)*($N$12-$N$10)/($N$8-$N$7))</x:f>
        <x:v>2.0602452643661</x:v>
      </x:c>
      <x:c r="G56" s="26" t="n">
        <x:f>IF(A56&lt;=$N$7,1-$N$9*A56/$N$7,$N$11+(A56-$N$7)*($N$13-$N$11)/($N$8-$N$7))</x:f>
        <x:v>-0.06024526436609978</x:v>
      </x:c>
      <x:c r="H56" s="26" t="n">
        <x:f>MIN(F56,B56)</x:f>
        <x:v>0.30106325028176045</x:v>
      </x:c>
      <x:c r="I56" s="26" t="n">
        <x:f>MAX(G56,C56)</x:f>
        <x:v>-0.06024526436609978</x:v>
      </x:c>
      <x:c r="J56" s="26" t="n">
        <x:f>MAX(D56,H56)</x:f>
        <x:v>0.30106325028176045</x:v>
      </x:c>
      <x:c r="K56" s="26" t="n">
        <x:f>MIN(E56,I56)</x:f>
        <x:v>-0.2707119179782043</x:v>
      </x:c>
      <x:c r="P56" s="26" t="n">
        <x:v>26</x:v>
      </x:c>
      <x:c r="Q56" s="26" t="n">
        <x:v>0.30106325028176045</x:v>
      </x:c>
      <x:c r="R56" s="26" t="n">
        <x:v>-0.2707119179782043</x:v>
      </x:c>
      <x:c r="S56" s="26" t="n">
        <x:v>0.30106325028176045</x:v>
      </x:c>
      <x:c r="T56" s="26" t="n">
        <x:v>-0.2707119179782043</x:v>
      </x:c>
      <x:c r="U56" s="26" t="n">
        <x:v>2.0602452643661</x:v>
      </x:c>
      <x:c r="V56" s="26" t="n">
        <x:v>-0.06024526436609978</x:v>
      </x:c>
    </x:row>
    <x:row r="57">
      <x:c r="A57" s="26" t="n">
        <x:v>26.5</x:v>
      </x:c>
      <x:c r="B57" s="26" t="n">
        <x:f>(A57/$N$3)^2</x:f>
        <x:v>0.31275394602125184</x:v>
      </x:c>
      <x:c r="C57" s="26" t="n">
        <x:f>0-(A57/$N$4)^2</x:f>
        <x:v>-0.2812240301778017</x:v>
      </x:c>
      <x:c r="D57" s="26" t="n">
        <x:f>MIN(B57,$N$5)</x:f>
        <x:v>0.31275394602125184</x:v>
      </x:c>
      <x:c r="E57" s="26" t="n">
        <x:f>IF(A57&lt;=$N$7,MAX(C57,$N$6),MAX(C57,$N$6*($N$8-A57)/($N$8-$N$7)))</x:f>
        <x:v>-0.2812240301778017</x:v>
      </x:c>
      <x:c r="F57" s="26" t="n">
        <x:f>IF(A57&lt;=$N$7,1+$N$9*A57/$N$7,$N$10+(A57-$N$7)*($N$12-$N$10)/($N$8-$N$7))</x:f>
        <x:v>2.08063459637314</x:v>
      </x:c>
      <x:c r="G57" s="26" t="n">
        <x:f>IF(A57&lt;=$N$7,1-$N$9*A57/$N$7,$N$11+(A57-$N$7)*($N$13-$N$11)/($N$8-$N$7))</x:f>
        <x:v>-0.08063459637314008</x:v>
      </x:c>
      <x:c r="H57" s="26" t="n">
        <x:f>MIN(F57,B57)</x:f>
        <x:v>0.31275394602125184</x:v>
      </x:c>
      <x:c r="I57" s="26" t="n">
        <x:f>MAX(G57,C57)</x:f>
        <x:v>-0.08063459637314008</x:v>
      </x:c>
      <x:c r="J57" s="26" t="n">
        <x:f>MAX(D57,H57)</x:f>
        <x:v>0.31275394602125184</x:v>
      </x:c>
      <x:c r="K57" s="26" t="n">
        <x:f>MIN(E57,I57)</x:f>
        <x:v>-0.2812240301778017</x:v>
      </x:c>
      <x:c r="P57" s="26" t="n">
        <x:v>26.5</x:v>
      </x:c>
      <x:c r="Q57" s="26" t="n">
        <x:v>0.31275394602125184</x:v>
      </x:c>
      <x:c r="R57" s="26" t="n">
        <x:v>-0.2812240301778017</x:v>
      </x:c>
      <x:c r="S57" s="26" t="n">
        <x:v>0.31275394602125184</x:v>
      </x:c>
      <x:c r="T57" s="26" t="n">
        <x:v>-0.2812240301778017</x:v>
      </x:c>
      <x:c r="U57" s="26" t="n">
        <x:v>2.08063459637314</x:v>
      </x:c>
      <x:c r="V57" s="26" t="n">
        <x:v>-0.0806345963731403</x:v>
      </x:c>
    </x:row>
    <x:row r="58">
      <x:c r="A58" s="26" t="n">
        <x:v>27</x:v>
      </x:c>
      <x:c r="B58" s="26" t="n">
        <x:f>(A58/$N$3)^2</x:f>
        <x:v>0.3246673216795908</x:v>
      </x:c>
      <x:c r="C58" s="26" t="n">
        <x:f>0-(A58/$N$4)^2</x:f>
        <x:v>-0.29193637308596293</x:v>
      </x:c>
      <x:c r="D58" s="26" t="n">
        <x:f>MIN(B58,$N$5)</x:f>
        <x:v>0.3246673216795908</x:v>
      </x:c>
      <x:c r="E58" s="26" t="n">
        <x:f>IF(A58&lt;=$N$7,MAX(C58,$N$6),MAX(C58,$N$6*($N$8-A58)/($N$8-$N$7)))</x:f>
        <x:v>-0.29193637308596293</x:v>
      </x:c>
      <x:c r="F58" s="26" t="n">
        <x:f>IF(A58&lt;=$N$7,1+$N$9*A58/$N$7,$N$10+(A58-$N$7)*($N$12-$N$10)/($N$8-$N$7))</x:f>
        <x:v>2.1010239283801804</x:v>
      </x:c>
      <x:c r="G58" s="26" t="n">
        <x:f>IF(A58&lt;=$N$7,1-$N$9*A58/$N$7,$N$11+(A58-$N$7)*($N$13-$N$11)/($N$8-$N$7))</x:f>
        <x:v>-0.1010239283801806</x:v>
      </x:c>
      <x:c r="H58" s="26" t="n">
        <x:f>MIN(F58,B58)</x:f>
        <x:v>0.3246673216795908</x:v>
      </x:c>
      <x:c r="I58" s="26" t="n">
        <x:f>MAX(G58,C58)</x:f>
        <x:v>-0.1010239283801806</x:v>
      </x:c>
      <x:c r="J58" s="26" t="n">
        <x:f>MAX(D58,H58)</x:f>
        <x:v>0.3246673216795908</x:v>
      </x:c>
      <x:c r="K58" s="26" t="n">
        <x:f>MIN(E58,I58)</x:f>
        <x:v>-0.29193637308596293</x:v>
      </x:c>
      <x:c r="P58" s="26" t="n">
        <x:v>27</x:v>
      </x:c>
      <x:c r="Q58" s="26" t="n">
        <x:v>0.3246673216795908</x:v>
      </x:c>
      <x:c r="R58" s="26" t="n">
        <x:v>-0.29193637308596293</x:v>
      </x:c>
      <x:c r="S58" s="26" t="n">
        <x:v>0.3246673216795908</x:v>
      </x:c>
      <x:c r="T58" s="26" t="n">
        <x:v>-0.29193637308596293</x:v>
      </x:c>
      <x:c r="U58" s="26" t="n">
        <x:v>2.1010239283801804</x:v>
      </x:c>
      <x:c r="V58" s="26" t="n">
        <x:v>-0.1010239283801806</x:v>
      </x:c>
    </x:row>
    <x:row r="59">
      <x:c r="A59" s="26" t="n">
        <x:v>27.5</x:v>
      </x:c>
      <x:c r="B59" s="26" t="n">
        <x:f>(A59/$N$3)^2</x:f>
        <x:v>0.33680337725677706</x:v>
      </x:c>
      <x:c r="C59" s="26" t="n">
        <x:f>0-(A59/$N$4)^2</x:f>
        <x:v>-0.3028489467026878</x:v>
      </x:c>
      <x:c r="D59" s="26" t="n">
        <x:f>MIN(B59,$N$5)</x:f>
        <x:v>0.33680337725677706</x:v>
      </x:c>
      <x:c r="E59" s="26" t="n">
        <x:f>IF(A59&lt;=$N$7,MAX(C59,$N$6),MAX(C59,$N$6*($N$8-A59)/($N$8-$N$7)))</x:f>
        <x:v>-0.3028489467026878</x:v>
      </x:c>
      <x:c r="F59" s="26" t="n">
        <x:f>IF(A59&lt;=$N$7,1+$N$9*A59/$N$7,$N$10+(A59-$N$7)*($N$12-$N$10)/($N$8-$N$7))</x:f>
        <x:v>2.1214132603872207</x:v>
      </x:c>
      <x:c r="G59" s="26" t="n">
        <x:f>IF(A59&lt;=$N$7,1-$N$9*A59/$N$7,$N$11+(A59-$N$7)*($N$13-$N$11)/($N$8-$N$7))</x:f>
        <x:v>-0.12141326038722089</x:v>
      </x:c>
      <x:c r="H59" s="26" t="n">
        <x:f>MIN(F59,B59)</x:f>
        <x:v>0.33680337725677706</x:v>
      </x:c>
      <x:c r="I59" s="26" t="n">
        <x:f>MAX(G59,C59)</x:f>
        <x:v>-0.12141326038722089</x:v>
      </x:c>
      <x:c r="J59" s="26" t="n">
        <x:f>MAX(D59,H59)</x:f>
        <x:v>0.33680337725677706</x:v>
      </x:c>
      <x:c r="K59" s="26" t="n">
        <x:f>MIN(E59,I59)</x:f>
        <x:v>-0.3028489467026878</x:v>
      </x:c>
      <x:c r="P59" s="26" t="n">
        <x:v>27.5</x:v>
      </x:c>
      <x:c r="Q59" s="26" t="n">
        <x:v>0.33680337725677706</x:v>
      </x:c>
      <x:c r="R59" s="26" t="n">
        <x:v>-0.3028489467026878</x:v>
      </x:c>
      <x:c r="S59" s="26" t="n">
        <x:v>0.33680337725677706</x:v>
      </x:c>
      <x:c r="T59" s="26" t="n">
        <x:v>-0.3028489467026878</x:v>
      </x:c>
      <x:c r="U59" s="26" t="n">
        <x:v>2.1214132603872207</x:v>
      </x:c>
      <x:c r="V59" s="26" t="n">
        <x:v>-0.12141326038722089</x:v>
      </x:c>
    </x:row>
    <x:row r="60">
      <x:c r="A60" s="26" t="n">
        <x:v>28</x:v>
      </x:c>
      <x:c r="B60" s="26" t="n">
        <x:f>(A60/$N$3)^2</x:f>
        <x:v>0.34916211275281084</x:v>
      </x:c>
      <x:c r="C60" s="26" t="n">
        <x:f>0-(A60/$N$4)^2</x:f>
        <x:v>-0.3139617510279766</x:v>
      </x:c>
      <x:c r="D60" s="26" t="n">
        <x:f>MIN(B60,$N$5)</x:f>
        <x:v>0.34916211275281084</x:v>
      </x:c>
      <x:c r="E60" s="26" t="n">
        <x:f>IF(A60&lt;=$N$7,MAX(C60,$N$6),MAX(C60,$N$6*($N$8-A60)/($N$8-$N$7)))</x:f>
        <x:v>-0.3139617510279766</x:v>
      </x:c>
      <x:c r="F60" s="26" t="n">
        <x:f>IF(A60&lt;=$N$7,1+$N$9*A60/$N$7,$N$10+(A60-$N$7)*($N$12-$N$10)/($N$8-$N$7))</x:f>
        <x:v>2.1418025923942614</x:v>
      </x:c>
      <x:c r="G60" s="26" t="n">
        <x:f>IF(A60&lt;=$N$7,1-$N$9*A60/$N$7,$N$11+(A60-$N$7)*($N$13-$N$11)/($N$8-$N$7))</x:f>
        <x:v>-0.1418025923942614</x:v>
      </x:c>
      <x:c r="H60" s="26" t="n">
        <x:f>MIN(F60,B60)</x:f>
        <x:v>0.34916211275281084</x:v>
      </x:c>
      <x:c r="I60" s="26" t="n">
        <x:f>MAX(G60,C60)</x:f>
        <x:v>-0.1418025923942614</x:v>
      </x:c>
      <x:c r="J60" s="26" t="n">
        <x:f>MAX(D60,H60)</x:f>
        <x:v>0.34916211275281084</x:v>
      </x:c>
      <x:c r="K60" s="26" t="n">
        <x:f>MIN(E60,I60)</x:f>
        <x:v>-0.3139617510279766</x:v>
      </x:c>
      <x:c r="P60" s="26" t="n">
        <x:v>28</x:v>
      </x:c>
      <x:c r="Q60" s="26" t="n">
        <x:v>0.34916211275281084</x:v>
      </x:c>
      <x:c r="R60" s="26" t="n">
        <x:v>-0.3139617510279766</x:v>
      </x:c>
      <x:c r="S60" s="26" t="n">
        <x:v>0.34916211275281084</x:v>
      </x:c>
      <x:c r="T60" s="26" t="n">
        <x:v>-0.3139617510279766</x:v>
      </x:c>
      <x:c r="U60" s="26" t="n">
        <x:v>2.1418025923942614</x:v>
      </x:c>
      <x:c r="V60" s="26" t="n">
        <x:v>-0.1418025923942614</x:v>
      </x:c>
    </x:row>
    <x:row r="61">
      <x:c r="A61" s="26" t="n">
        <x:v>28.5</x:v>
      </x:c>
      <x:c r="B61" s="26" t="n">
        <x:f>(A61/$N$3)^2</x:f>
        <x:v>0.3617435281676922</x:v>
      </x:c>
      <x:c r="C61" s="26" t="n">
        <x:f>0-(A61/$N$4)^2</x:f>
        <x:v>-0.3252747860618291</x:v>
      </x:c>
      <x:c r="D61" s="26" t="n">
        <x:f>MIN(B61,$N$5)</x:f>
        <x:v>0.3617435281676922</x:v>
      </x:c>
      <x:c r="E61" s="26" t="n">
        <x:f>IF(A61&lt;=$N$7,MAX(C61,$N$6),MAX(C61,$N$6*($N$8-A61)/($N$8-$N$7)))</x:f>
        <x:v>-0.3252747860618291</x:v>
      </x:c>
      <x:c r="F61" s="26" t="n">
        <x:f>IF(A61&lt;=$N$7,1+$N$9*A61/$N$7,$N$10+(A61-$N$7)*($N$12-$N$10)/($N$8-$N$7))</x:f>
        <x:v>2.1621919244013017</x:v>
      </x:c>
      <x:c r="G61" s="26" t="n">
        <x:f>IF(A61&lt;=$N$7,1-$N$9*A61/$N$7,$N$11+(A61-$N$7)*($N$13-$N$11)/($N$8-$N$7))</x:f>
        <x:v>-0.1621919244013017</x:v>
      </x:c>
      <x:c r="H61" s="26" t="n">
        <x:f>MIN(F61,B61)</x:f>
        <x:v>0.3617435281676922</x:v>
      </x:c>
      <x:c r="I61" s="26" t="n">
        <x:f>MAX(G61,C61)</x:f>
        <x:v>-0.1621919244013017</x:v>
      </x:c>
      <x:c r="J61" s="26" t="n">
        <x:f>MAX(D61,H61)</x:f>
        <x:v>0.3617435281676922</x:v>
      </x:c>
      <x:c r="K61" s="26" t="n">
        <x:f>MIN(E61,I61)</x:f>
        <x:v>-0.3252747860618291</x:v>
      </x:c>
      <x:c r="P61" s="26" t="n">
        <x:v>28.5</x:v>
      </x:c>
      <x:c r="Q61" s="26" t="n">
        <x:v>0.3617435281676922</x:v>
      </x:c>
      <x:c r="R61" s="26" t="n">
        <x:v>-0.3252747860618291</x:v>
      </x:c>
      <x:c r="S61" s="26" t="n">
        <x:v>0.3617435281676922</x:v>
      </x:c>
      <x:c r="T61" s="26" t="n">
        <x:v>-0.3252747860618291</x:v>
      </x:c>
      <x:c r="U61" s="26" t="n">
        <x:v>2.1621919244013017</x:v>
      </x:c>
      <x:c r="V61" s="26" t="n">
        <x:v>-0.1621919244013017</x:v>
      </x:c>
    </x:row>
    <x:row r="62">
      <x:c r="A62" s="26" t="n">
        <x:v>29</x:v>
      </x:c>
      <x:c r="B62" s="26" t="n">
        <x:f>(A62/$N$3)^2</x:f>
        <x:v>0.3745476235014208</x:v>
      </x:c>
      <x:c r="C62" s="26" t="n">
        <x:f>0-(A62/$N$4)^2</x:f>
        <x:v>-0.3367880518042452</x:v>
      </x:c>
      <x:c r="D62" s="26" t="n">
        <x:f>MIN(B62,$N$5)</x:f>
        <x:v>0.3745476235014208</x:v>
      </x:c>
      <x:c r="E62" s="26" t="n">
        <x:f>IF(A62&lt;=$N$7,MAX(C62,$N$6),MAX(C62,$N$6*($N$8-A62)/($N$8-$N$7)))</x:f>
        <x:v>-0.3367880518042452</x:v>
      </x:c>
      <x:c r="F62" s="26" t="n">
        <x:f>IF(A62&lt;=$N$7,1+$N$9*A62/$N$7,$N$10+(A62-$N$7)*($N$12-$N$10)/($N$8-$N$7))</x:f>
        <x:v>2.1825812564083424</x:v>
      </x:c>
      <x:c r="G62" s="26" t="n">
        <x:f>IF(A62&lt;=$N$7,1-$N$9*A62/$N$7,$N$11+(A62-$N$7)*($N$13-$N$11)/($N$8-$N$7))</x:f>
        <x:v>-0.18258125640834222</x:v>
      </x:c>
      <x:c r="H62" s="26" t="n">
        <x:f>MIN(F62,B62)</x:f>
        <x:v>0.3745476235014208</x:v>
      </x:c>
      <x:c r="I62" s="26" t="n">
        <x:f>MAX(G62,C62)</x:f>
        <x:v>-0.18258125640834222</x:v>
      </x:c>
      <x:c r="J62" s="26" t="n">
        <x:f>MAX(D62,H62)</x:f>
        <x:v>0.3745476235014208</x:v>
      </x:c>
      <x:c r="K62" s="26" t="n">
        <x:f>MIN(E62,I62)</x:f>
        <x:v>-0.3367880518042452</x:v>
      </x:c>
      <x:c r="P62" s="26" t="n">
        <x:v>29</x:v>
      </x:c>
      <x:c r="Q62" s="26" t="n">
        <x:v>0.3745476235014208</x:v>
      </x:c>
      <x:c r="R62" s="26" t="n">
        <x:v>-0.3367880518042452</x:v>
      </x:c>
      <x:c r="S62" s="26" t="n">
        <x:v>0.3745476235014208</x:v>
      </x:c>
      <x:c r="T62" s="26" t="n">
        <x:v>-0.3367880518042452</x:v>
      </x:c>
      <x:c r="U62" s="26" t="n">
        <x:v>2.1825812564083424</x:v>
      </x:c>
      <x:c r="V62" s="26" t="n">
        <x:v>-0.18258125640834222</x:v>
      </x:c>
    </x:row>
    <x:row r="63">
      <x:c r="A63" s="26" t="n">
        <x:v>29.5</x:v>
      </x:c>
      <x:c r="B63" s="26" t="n">
        <x:f>(A63/$N$3)^2</x:f>
        <x:v>0.3875743987539971</x:v>
      </x:c>
      <x:c r="C63" s="26" t="n">
        <x:f>0-(A63/$N$4)^2</x:f>
        <x:v>-0.3485015482552253</x:v>
      </x:c>
      <x:c r="D63" s="26" t="n">
        <x:f>MIN(B63,$N$5)</x:f>
        <x:v>0.3875743987539971</x:v>
      </x:c>
      <x:c r="E63" s="26" t="n">
        <x:f>IF(A63&lt;=$N$7,MAX(C63,$N$6),MAX(C63,$N$6*($N$8-A63)/($N$8-$N$7)))</x:f>
        <x:v>-0.3485015482552253</x:v>
      </x:c>
      <x:c r="F63" s="26" t="n">
        <x:f>IF(A63&lt;=$N$7,1+$N$9*A63/$N$7,$N$10+(A63-$N$7)*($N$12-$N$10)/($N$8-$N$7))</x:f>
        <x:v>2.2029705884153827</x:v>
      </x:c>
      <x:c r="G63" s="26" t="n">
        <x:f>IF(A63&lt;=$N$7,1-$N$9*A63/$N$7,$N$11+(A63-$N$7)*($N$13-$N$11)/($N$8-$N$7))</x:f>
        <x:v>-0.2029705884153825</x:v>
      </x:c>
      <x:c r="H63" s="26" t="n">
        <x:f>MIN(F63,B63)</x:f>
        <x:v>0.3875743987539971</x:v>
      </x:c>
      <x:c r="I63" s="26" t="n">
        <x:f>MAX(G63,C63)</x:f>
        <x:v>-0.2029705884153825</x:v>
      </x:c>
      <x:c r="J63" s="26" t="n">
        <x:f>MAX(D63,H63)</x:f>
        <x:v>0.3875743987539971</x:v>
      </x:c>
      <x:c r="K63" s="26" t="n">
        <x:f>MIN(E63,I63)</x:f>
        <x:v>-0.3485015482552253</x:v>
      </x:c>
      <x:c r="P63" s="26" t="n">
        <x:v>29.5</x:v>
      </x:c>
      <x:c r="Q63" s="26" t="n">
        <x:v>0.3875743987539971</x:v>
      </x:c>
      <x:c r="R63" s="26" t="n">
        <x:v>-0.3485015482552253</x:v>
      </x:c>
      <x:c r="S63" s="26" t="n">
        <x:v>0.3875743987539971</x:v>
      </x:c>
      <x:c r="T63" s="26" t="n">
        <x:v>-0.3485015482552253</x:v>
      </x:c>
      <x:c r="U63" s="26" t="n">
        <x:v>2.2029705884153827</x:v>
      </x:c>
      <x:c r="V63" s="26" t="n">
        <x:v>-0.2029705884153825</x:v>
      </x:c>
    </x:row>
    <x:row r="64">
      <x:c r="A64" s="26" t="n">
        <x:v>30</x:v>
      </x:c>
      <x:c r="B64" s="26" t="n">
        <x:f>(A64/$N$3)^2</x:f>
        <x:v>0.40082385392542064</x:v>
      </x:c>
      <x:c r="C64" s="26" t="n">
        <x:f>0-(A64/$N$4)^2</x:f>
        <x:v>-0.36041527541476903</x:v>
      </x:c>
      <x:c r="D64" s="26" t="n">
        <x:f>MIN(B64,$N$5)</x:f>
        <x:v>0.40082385392542064</x:v>
      </x:c>
      <x:c r="E64" s="26" t="n">
        <x:f>IF(A64&lt;=$N$7,MAX(C64,$N$6),MAX(C64,$N$6*($N$8-A64)/($N$8-$N$7)))</x:f>
        <x:v>-0.36041527541476903</x:v>
      </x:c>
      <x:c r="F64" s="26" t="n">
        <x:f>IF(A64&lt;=$N$7,1+$N$9*A64/$N$7,$N$10+(A64-$N$7)*($N$12-$N$10)/($N$8-$N$7))</x:f>
        <x:v>2.223359920422423</x:v>
      </x:c>
      <x:c r="G64" s="26" t="n">
        <x:f>IF(A64&lt;=$N$7,1-$N$9*A64/$N$7,$N$11+(A64-$N$7)*($N$13-$N$11)/($N$8-$N$7))</x:f>
        <x:v>-0.2233599204224228</x:v>
      </x:c>
      <x:c r="H64" s="26" t="n">
        <x:f>MIN(F64,B64)</x:f>
        <x:v>0.40082385392542064</x:v>
      </x:c>
      <x:c r="I64" s="26" t="n">
        <x:f>MAX(G64,C64)</x:f>
        <x:v>-0.2233599204224228</x:v>
      </x:c>
      <x:c r="J64" s="26" t="n">
        <x:f>MAX(D64,H64)</x:f>
        <x:v>0.40082385392542064</x:v>
      </x:c>
      <x:c r="K64" s="26" t="n">
        <x:f>MIN(E64,I64)</x:f>
        <x:v>-0.36041527541476903</x:v>
      </x:c>
      <x:c r="P64" s="26" t="n">
        <x:v>30</x:v>
      </x:c>
      <x:c r="Q64" s="26" t="n">
        <x:v>0.40082385392542064</x:v>
      </x:c>
      <x:c r="R64" s="26" t="n">
        <x:v>-0.36041527541476903</x:v>
      </x:c>
      <x:c r="S64" s="26" t="n">
        <x:v>0.40082385392542064</x:v>
      </x:c>
      <x:c r="T64" s="26" t="n">
        <x:v>-0.36041527541476903</x:v>
      </x:c>
      <x:c r="U64" s="26" t="n">
        <x:v>2.223359920422423</x:v>
      </x:c>
      <x:c r="V64" s="26" t="n">
        <x:v>-0.2233599204224228</x:v>
      </x:c>
    </x:row>
    <x:row r="65">
      <x:c r="A65" s="26" t="n">
        <x:v>30.5</x:v>
      </x:c>
      <x:c r="B65" s="26" t="n">
        <x:f>(A65/$N$3)^2</x:f>
        <x:v>0.41429598901569176</x:v>
      </x:c>
      <x:c r="C65" s="26" t="n">
        <x:f>0-(A65/$N$4)^2</x:f>
        <x:v>-0.37252923328287646</x:v>
      </x:c>
      <x:c r="D65" s="26" t="n">
        <x:f>MIN(B65,$N$5)</x:f>
        <x:v>0.41429598901569176</x:v>
      </x:c>
      <x:c r="E65" s="26" t="n">
        <x:f>IF(A65&lt;=$N$7,MAX(C65,$N$6),MAX(C65,$N$6*($N$8-A65)/($N$8-$N$7)))</x:f>
        <x:v>-0.37252923328287646</x:v>
      </x:c>
      <x:c r="F65" s="26" t="n">
        <x:f>IF(A65&lt;=$N$7,1+$N$9*A65/$N$7,$N$10+(A65-$N$7)*($N$12-$N$10)/($N$8-$N$7))</x:f>
        <x:v>2.2437492524294633</x:v>
      </x:c>
      <x:c r="G65" s="26" t="n">
        <x:f>IF(A65&lt;=$N$7,1-$N$9*A65/$N$7,$N$11+(A65-$N$7)*($N$13-$N$11)/($N$8-$N$7))</x:f>
        <x:v>-0.24374925242946333</x:v>
      </x:c>
      <x:c r="H65" s="26" t="n">
        <x:f>MIN(F65,B65)</x:f>
        <x:v>0.41429598901569176</x:v>
      </x:c>
      <x:c r="I65" s="26" t="n">
        <x:f>MAX(G65,C65)</x:f>
        <x:v>-0.24374925242946333</x:v>
      </x:c>
      <x:c r="J65" s="26" t="n">
        <x:f>MAX(D65,H65)</x:f>
        <x:v>0.41429598901569176</x:v>
      </x:c>
      <x:c r="K65" s="26" t="n">
        <x:f>MIN(E65,I65)</x:f>
        <x:v>-0.37252923328287646</x:v>
      </x:c>
      <x:c r="P65" s="26" t="n">
        <x:v>30.5</x:v>
      </x:c>
      <x:c r="Q65" s="26" t="n">
        <x:v>0.41429598901569176</x:v>
      </x:c>
      <x:c r="R65" s="26" t="n">
        <x:v>-0.37252923328287646</x:v>
      </x:c>
      <x:c r="S65" s="26" t="n">
        <x:v>0.41429598901569176</x:v>
      </x:c>
      <x:c r="T65" s="26" t="n">
        <x:v>-0.37252923328287646</x:v>
      </x:c>
      <x:c r="U65" s="26" t="n">
        <x:v>2.2437492524294633</x:v>
      </x:c>
      <x:c r="V65" s="26" t="n">
        <x:v>-0.24374925242946333</x:v>
      </x:c>
    </x:row>
    <x:row r="66">
      <x:c r="A66" s="26" t="n">
        <x:v>31</x:v>
      </x:c>
      <x:c r="B66" s="26" t="n">
        <x:f>(A66/$N$3)^2</x:f>
        <x:v>0.42799080402481027</x:v>
      </x:c>
      <x:c r="C66" s="26" t="n">
        <x:f>0-(A66/$N$4)^2</x:f>
        <x:v>-0.3848434218595478</x:v>
      </x:c>
      <x:c r="D66" s="26" t="n">
        <x:f>MIN(B66,$N$5)</x:f>
        <x:v>0.42799080402481027</x:v>
      </x:c>
      <x:c r="E66" s="26" t="n">
        <x:f>IF(A66&lt;=$N$7,MAX(C66,$N$6),MAX(C66,$N$6*($N$8-A66)/($N$8-$N$7)))</x:f>
        <x:v>-0.3848434218595478</x:v>
      </x:c>
      <x:c r="F66" s="26" t="n">
        <x:f>IF(A66&lt;=$N$7,1+$N$9*A66/$N$7,$N$10+(A66-$N$7)*($N$12-$N$10)/($N$8-$N$7))</x:f>
        <x:v>2.2641385844365036</x:v>
      </x:c>
      <x:c r="G66" s="26" t="n">
        <x:f>IF(A66&lt;=$N$7,1-$N$9*A66/$N$7,$N$11+(A66-$N$7)*($N$13-$N$11)/($N$8-$N$7))</x:f>
        <x:v>-0.2641385844365036</x:v>
      </x:c>
      <x:c r="H66" s="26" t="n">
        <x:f>MIN(F66,B66)</x:f>
        <x:v>0.42799080402481027</x:v>
      </x:c>
      <x:c r="I66" s="26" t="n">
        <x:f>MAX(G66,C66)</x:f>
        <x:v>-0.2641385844365036</x:v>
      </x:c>
      <x:c r="J66" s="26" t="n">
        <x:f>MAX(D66,H66)</x:f>
        <x:v>0.42799080402481027</x:v>
      </x:c>
      <x:c r="K66" s="26" t="n">
        <x:f>MIN(E66,I66)</x:f>
        <x:v>-0.3848434218595478</x:v>
      </x:c>
      <x:c r="P66" s="26" t="n">
        <x:v>31</x:v>
      </x:c>
      <x:c r="Q66" s="26" t="n">
        <x:v>0.42799080402481027</x:v>
      </x:c>
      <x:c r="R66" s="26" t="n">
        <x:v>-0.3848434218595478</x:v>
      </x:c>
      <x:c r="S66" s="26" t="n">
        <x:v>0.42799080402481027</x:v>
      </x:c>
      <x:c r="T66" s="26" t="n">
        <x:v>-0.3848434218595478</x:v>
      </x:c>
      <x:c r="U66" s="26" t="n">
        <x:v>2.2641385844365036</x:v>
      </x:c>
      <x:c r="V66" s="26" t="n">
        <x:v>-0.2641385844365036</x:v>
      </x:c>
    </x:row>
    <x:row r="67">
      <x:c r="A67" s="26" t="n">
        <x:v>31.5</x:v>
      </x:c>
      <x:c r="B67" s="26" t="n">
        <x:f>(A67/$N$3)^2</x:f>
        <x:v>0.44190829895277633</x:v>
      </x:c>
      <x:c r="C67" s="26" t="n">
        <x:f>0-(A67/$N$4)^2</x:f>
        <x:v>-0.3973578411447829</x:v>
      </x:c>
      <x:c r="D67" s="26" t="n">
        <x:f>MIN(B67,$N$5)</x:f>
        <x:v>0.44190829895277633</x:v>
      </x:c>
      <x:c r="E67" s="26" t="n">
        <x:f>IF(A67&lt;=$N$7,MAX(C67,$N$6),MAX(C67,$N$6*($N$8-A67)/($N$8-$N$7)))</x:f>
        <x:v>-0.3973578411447829</x:v>
      </x:c>
      <x:c r="F67" s="26" t="n">
        <x:f>IF(A67&lt;=$N$7,1+$N$9*A67/$N$7,$N$10+(A67-$N$7)*($N$12-$N$10)/($N$8-$N$7))</x:f>
        <x:v>2.284527916443544</x:v>
      </x:c>
      <x:c r="G67" s="26" t="n">
        <x:f>IF(A67&lt;=$N$7,1-$N$9*A67/$N$7,$N$11+(A67-$N$7)*($N$13-$N$11)/($N$8-$N$7))</x:f>
        <x:v>-0.28452791644354414</x:v>
      </x:c>
      <x:c r="H67" s="26" t="n">
        <x:f>MIN(F67,B67)</x:f>
        <x:v>0.44190829895277633</x:v>
      </x:c>
      <x:c r="I67" s="26" t="n">
        <x:f>MAX(G67,C67)</x:f>
        <x:v>-0.28452791644354414</x:v>
      </x:c>
      <x:c r="J67" s="26" t="n">
        <x:f>MAX(D67,H67)</x:f>
        <x:v>0.44190829895277633</x:v>
      </x:c>
      <x:c r="K67" s="26" t="n">
        <x:f>MIN(E67,I67)</x:f>
        <x:v>-0.3973578411447829</x:v>
      </x:c>
      <x:c r="P67" s="26" t="n">
        <x:v>31.5</x:v>
      </x:c>
      <x:c r="Q67" s="26" t="n">
        <x:v>0.44190829895277633</x:v>
      </x:c>
      <x:c r="R67" s="26" t="n">
        <x:v>-0.3973578411447829</x:v>
      </x:c>
      <x:c r="S67" s="26" t="n">
        <x:v>0.44190829895277633</x:v>
      </x:c>
      <x:c r="T67" s="26" t="n">
        <x:v>-0.3973578411447829</x:v>
      </x:c>
      <x:c r="U67" s="26" t="n">
        <x:v>2.284527916443544</x:v>
      </x:c>
      <x:c r="V67" s="26" t="n">
        <x:v>-0.28452791644354414</x:v>
      </x:c>
    </x:row>
    <x:row r="68">
      <x:c r="A68" s="26" t="n">
        <x:v>32</x:v>
      </x:c>
      <x:c r="B68" s="26" t="n">
        <x:f>(A68/$N$3)^2</x:f>
        <x:v>0.45604847379958974</x:v>
      </x:c>
      <x:c r="C68" s="26" t="n">
        <x:f>0-(A68/$N$4)^2</x:f>
        <x:v>-0.4100724911385816</x:v>
      </x:c>
      <x:c r="D68" s="26" t="n">
        <x:f>MIN(B68,$N$5)</x:f>
        <x:v>0.45604847379958974</x:v>
      </x:c>
      <x:c r="E68" s="26" t="n">
        <x:f>IF(A68&lt;=$N$7,MAX(C68,$N$6),MAX(C68,$N$6*($N$8-A68)/($N$8-$N$7)))</x:f>
        <x:v>-0.4100724911385816</x:v>
      </x:c>
      <x:c r="F68" s="26" t="n">
        <x:f>IF(A68&lt;=$N$7,1+$N$9*A68/$N$7,$N$10+(A68-$N$7)*($N$12-$N$10)/($N$8-$N$7))</x:f>
        <x:v>2.304917248450584</x:v>
      </x:c>
      <x:c r="G68" s="26" t="n">
        <x:f>IF(A68&lt;=$N$7,1-$N$9*A68/$N$7,$N$11+(A68-$N$7)*($N$13-$N$11)/($N$8-$N$7))</x:f>
        <x:v>-0.30491724845058443</x:v>
      </x:c>
      <x:c r="H68" s="26" t="n">
        <x:f>MIN(F68,B68)</x:f>
        <x:v>0.45604847379958974</x:v>
      </x:c>
      <x:c r="I68" s="26" t="n">
        <x:f>MAX(G68,C68)</x:f>
        <x:v>-0.30491724845058443</x:v>
      </x:c>
      <x:c r="J68" s="26" t="n">
        <x:f>MAX(D68,H68)</x:f>
        <x:v>0.45604847379958974</x:v>
      </x:c>
      <x:c r="K68" s="26" t="n">
        <x:f>MIN(E68,I68)</x:f>
        <x:v>-0.4100724911385816</x:v>
      </x:c>
      <x:c r="P68" s="26" t="n">
        <x:v>32</x:v>
      </x:c>
      <x:c r="Q68" s="26" t="n">
        <x:v>0.45604847379958974</x:v>
      </x:c>
      <x:c r="R68" s="26" t="n">
        <x:v>-0.4100724911385816</x:v>
      </x:c>
      <x:c r="S68" s="26" t="n">
        <x:v>0.45604847379958974</x:v>
      </x:c>
      <x:c r="T68" s="26" t="n">
        <x:v>-0.4100724911385816</x:v>
      </x:c>
      <x:c r="U68" s="26" t="n">
        <x:v>2.304917248450584</x:v>
      </x:c>
      <x:c r="V68" s="26" t="n">
        <x:v>-0.30491724845058443</x:v>
      </x:c>
    </x:row>
    <x:row r="69">
      <x:c r="A69" s="26" t="n">
        <x:v>32.5</x:v>
      </x:c>
      <x:c r="B69" s="26" t="n">
        <x:f>(A69/$N$3)^2</x:f>
        <x:v>0.4704113285652507</x:v>
      </x:c>
      <x:c r="C69" s="26" t="n">
        <x:f>0-(A69/$N$4)^2</x:f>
        <x:v>-0.4229873718409442</x:v>
      </x:c>
      <x:c r="D69" s="26" t="n">
        <x:f>MIN(B69,$N$5)</x:f>
        <x:v>0.4704113285652507</x:v>
      </x:c>
      <x:c r="E69" s="26" t="n">
        <x:f>IF(A69&lt;=$N$7,MAX(C69,$N$6),MAX(C69,$N$6*($N$8-A69)/($N$8-$N$7)))</x:f>
        <x:v>-0.4229873718409442</x:v>
      </x:c>
      <x:c r="F69" s="26" t="n">
        <x:f>IF(A69&lt;=$N$7,1+$N$9*A69/$N$7,$N$10+(A69-$N$7)*($N$12-$N$10)/($N$8-$N$7))</x:f>
        <x:v>2.325306580457625</x:v>
      </x:c>
      <x:c r="G69" s="26" t="n">
        <x:f>IF(A69&lt;=$N$7,1-$N$9*A69/$N$7,$N$11+(A69-$N$7)*($N$13-$N$11)/($N$8-$N$7))</x:f>
        <x:v>-0.32530658045762495</x:v>
      </x:c>
      <x:c r="H69" s="26" t="n">
        <x:f>MIN(F69,B69)</x:f>
        <x:v>0.4704113285652507</x:v>
      </x:c>
      <x:c r="I69" s="26" t="n">
        <x:f>MAX(G69,C69)</x:f>
        <x:v>-0.32530658045762495</x:v>
      </x:c>
      <x:c r="J69" s="26" t="n">
        <x:f>MAX(D69,H69)</x:f>
        <x:v>0.4704113285652507</x:v>
      </x:c>
      <x:c r="K69" s="26" t="n">
        <x:f>MIN(E69,I69)</x:f>
        <x:v>-0.4229873718409442</x:v>
      </x:c>
      <x:c r="P69" s="26" t="n">
        <x:v>32.5</x:v>
      </x:c>
      <x:c r="Q69" s="26" t="n">
        <x:v>0.4704113285652507</x:v>
      </x:c>
      <x:c r="R69" s="26" t="n">
        <x:v>-0.4229873718409442</x:v>
      </x:c>
      <x:c r="S69" s="26" t="n">
        <x:v>0.4704113285652507</x:v>
      </x:c>
      <x:c r="T69" s="26" t="n">
        <x:v>-0.4229873718409442</x:v>
      </x:c>
      <x:c r="U69" s="26" t="n">
        <x:v>2.3253065804576245</x:v>
      </x:c>
      <x:c r="V69" s="26" t="n">
        <x:v>-0.3253065804576247</x:v>
      </x:c>
    </x:row>
    <x:row r="70">
      <x:c r="A70" s="26" t="n">
        <x:v>33</x:v>
      </x:c>
      <x:c r="B70" s="26" t="n">
        <x:f>(A70/$N$3)^2</x:f>
        <x:v>0.484996863249759</x:v>
      </x:c>
      <x:c r="C70" s="26" t="n">
        <x:f>0-(A70/$N$4)^2</x:f>
        <x:v>-0.43610248325187057</x:v>
      </x:c>
      <x:c r="D70" s="26" t="n">
        <x:f>MIN(B70,$N$5)</x:f>
        <x:v>0.484996863249759</x:v>
      </x:c>
      <x:c r="E70" s="26" t="n">
        <x:f>IF(A70&lt;=$N$7,MAX(C70,$N$6),MAX(C70,$N$6*($N$8-A70)/($N$8-$N$7)))</x:f>
        <x:v>-0.43610248325187057</x:v>
      </x:c>
      <x:c r="F70" s="26" t="n">
        <x:f>IF(A70&lt;=$N$7,1+$N$9*A70/$N$7,$N$10+(A70-$N$7)*($N$12-$N$10)/($N$8-$N$7))</x:f>
        <x:v>2.3456959124646652</x:v>
      </x:c>
      <x:c r="G70" s="26" t="n">
        <x:f>IF(A70&lt;=$N$7,1-$N$9*A70/$N$7,$N$11+(A70-$N$7)*($N$13-$N$11)/($N$8-$N$7))</x:f>
        <x:v>-0.34569591246466524</x:v>
      </x:c>
      <x:c r="H70" s="26" t="n">
        <x:f>MIN(F70,B70)</x:f>
        <x:v>0.484996863249759</x:v>
      </x:c>
      <x:c r="I70" s="26" t="n">
        <x:f>MAX(G70,C70)</x:f>
        <x:v>-0.34569591246466524</x:v>
      </x:c>
      <x:c r="J70" s="26" t="n">
        <x:f>MAX(D70,H70)</x:f>
        <x:v>0.484996863249759</x:v>
      </x:c>
      <x:c r="K70" s="26" t="n">
        <x:f>MIN(E70,I70)</x:f>
        <x:v>-0.43610248325187057</x:v>
      </x:c>
      <x:c r="P70" s="26" t="n">
        <x:v>33</x:v>
      </x:c>
      <x:c r="Q70" s="26" t="n">
        <x:v>0.484996863249759</x:v>
      </x:c>
      <x:c r="R70" s="26" t="n">
        <x:v>-0.43610248325187057</x:v>
      </x:c>
      <x:c r="S70" s="26" t="n">
        <x:v>0.484996863249759</x:v>
      </x:c>
      <x:c r="T70" s="26" t="n">
        <x:v>-0.43610248325187057</x:v>
      </x:c>
      <x:c r="U70" s="26" t="n">
        <x:v>2.3456959124646652</x:v>
      </x:c>
      <x:c r="V70" s="26" t="n">
        <x:v>-0.34569591246466524</x:v>
      </x:c>
    </x:row>
    <x:row r="71">
      <x:c r="A71" s="26" t="n">
        <x:v>33.5</x:v>
      </x:c>
      <x:c r="B71" s="26" t="n">
        <x:f>(A71/$N$3)^2</x:f>
        <x:v>0.49980507785311473</x:v>
      </x:c>
      <x:c r="C71" s="26" t="n">
        <x:f>0-(A71/$N$4)^2</x:f>
        <x:v>-0.44941782537136055</x:v>
      </x:c>
      <x:c r="D71" s="26" t="n">
        <x:f>MIN(B71,$N$5)</x:f>
        <x:v>0.49980507785311473</x:v>
      </x:c>
      <x:c r="E71" s="26" t="n">
        <x:f>IF(A71&lt;=$N$7,MAX(C71,$N$6),MAX(C71,$N$6*($N$8-A71)/($N$8-$N$7)))</x:f>
        <x:v>-0.44941782537136055</x:v>
      </x:c>
      <x:c r="F71" s="26" t="n">
        <x:f>IF(A71&lt;=$N$7,1+$N$9*A71/$N$7,$N$10+(A71-$N$7)*($N$12-$N$10)/($N$8-$N$7))</x:f>
        <x:v>2.3660852444717055</x:v>
      </x:c>
      <x:c r="G71" s="26" t="n">
        <x:f>IF(A71&lt;=$N$7,1-$N$9*A71/$N$7,$N$11+(A71-$N$7)*($N$13-$N$11)/($N$8-$N$7))</x:f>
        <x:v>-0.36608524447170554</x:v>
      </x:c>
      <x:c r="H71" s="26" t="n">
        <x:f>MIN(F71,B71)</x:f>
        <x:v>0.49980507785311473</x:v>
      </x:c>
      <x:c r="I71" s="26" t="n">
        <x:f>MAX(G71,C71)</x:f>
        <x:v>-0.36608524447170554</x:v>
      </x:c>
      <x:c r="J71" s="26" t="n">
        <x:f>MAX(D71,H71)</x:f>
        <x:v>0.49980507785311473</x:v>
      </x:c>
      <x:c r="K71" s="26" t="n">
        <x:f>MIN(E71,I71)</x:f>
        <x:v>-0.44941782537136055</x:v>
      </x:c>
      <x:c r="P71" s="26" t="n">
        <x:v>33.5</x:v>
      </x:c>
      <x:c r="Q71" s="26" t="n">
        <x:v>0.49980507785311473</x:v>
      </x:c>
      <x:c r="R71" s="26" t="n">
        <x:v>-0.44941782537136055</x:v>
      </x:c>
      <x:c r="S71" s="26" t="n">
        <x:v>0.49980507785311473</x:v>
      </x:c>
      <x:c r="T71" s="26" t="n">
        <x:v>-0.44941782537136055</x:v>
      </x:c>
      <x:c r="U71" s="26" t="n">
        <x:v>2.3660852444717055</x:v>
      </x:c>
      <x:c r="V71" s="26" t="n">
        <x:v>-0.36608524447170554</x:v>
      </x:c>
    </x:row>
    <x:row r="72">
      <x:c r="A72" s="26" t="n">
        <x:v>34</x:v>
      </x:c>
      <x:c r="B72" s="26" t="n">
        <x:f>(A72/$N$3)^2</x:f>
        <x:v>0.5148359723753181</x:v>
      </x:c>
      <x:c r="C72" s="26" t="n">
        <x:f>0-(A72/$N$4)^2</x:f>
        <x:v>-0.4629333981994144</x:v>
      </x:c>
      <x:c r="D72" s="26" t="n">
        <x:f>MIN(B72,$N$5)</x:f>
        <x:v>0.5148359723753181</x:v>
      </x:c>
      <x:c r="E72" s="26" t="n">
        <x:f>IF(A72&lt;=$N$7,MAX(C72,$N$6),MAX(C72,$N$6*($N$8-A72)/($N$8-$N$7)))</x:f>
        <x:v>-0.4629333981994144</x:v>
      </x:c>
      <x:c r="F72" s="26" t="n">
        <x:f>IF(A72&lt;=$N$7,1+$N$9*A72/$N$7,$N$10+(A72-$N$7)*($N$12-$N$10)/($N$8-$N$7))</x:f>
        <x:v>2.3864745764787463</x:v>
      </x:c>
      <x:c r="G72" s="26" t="n">
        <x:f>IF(A72&lt;=$N$7,1-$N$9*A72/$N$7,$N$11+(A72-$N$7)*($N$13-$N$11)/($N$8-$N$7))</x:f>
        <x:v>-0.38647457647874606</x:v>
      </x:c>
      <x:c r="H72" s="26" t="n">
        <x:f>MIN(F72,B72)</x:f>
        <x:v>0.5148359723753181</x:v>
      </x:c>
      <x:c r="I72" s="26" t="n">
        <x:f>MAX(G72,C72)</x:f>
        <x:v>-0.38647457647874606</x:v>
      </x:c>
      <x:c r="J72" s="26" t="n">
        <x:f>MAX(D72,H72)</x:f>
        <x:v>0.5148359723753181</x:v>
      </x:c>
      <x:c r="K72" s="26" t="n">
        <x:f>MIN(E72,I72)</x:f>
        <x:v>-0.4629333981994144</x:v>
      </x:c>
      <x:c r="P72" s="26" t="n">
        <x:v>34</x:v>
      </x:c>
      <x:c r="Q72" s="26" t="n">
        <x:v>0.5148359723753181</x:v>
      </x:c>
      <x:c r="R72" s="26" t="n">
        <x:v>-0.4629333981994144</x:v>
      </x:c>
      <x:c r="S72" s="26" t="n">
        <x:v>0.5148359723753181</x:v>
      </x:c>
      <x:c r="T72" s="26" t="n">
        <x:v>-0.4629333981994144</x:v>
      </x:c>
      <x:c r="U72" s="26" t="n">
        <x:v>2.3864745764787463</x:v>
      </x:c>
      <x:c r="V72" s="26" t="n">
        <x:v>-0.38647457647874606</x:v>
      </x:c>
    </x:row>
    <x:row r="73">
      <x:c r="A73" s="26" t="n">
        <x:v>34.5</x:v>
      </x:c>
      <x:c r="B73" s="26" t="n">
        <x:f>(A73/$N$3)^2</x:f>
        <x:v>0.5300895468163688</x:v>
      </x:c>
      <x:c r="C73" s="26" t="n">
        <x:f>0-(A73/$N$4)^2</x:f>
        <x:v>-0.4766492017360319</x:v>
      </x:c>
      <x:c r="D73" s="26" t="n">
        <x:f>MIN(B73,$N$5)</x:f>
        <x:v>0.5300895468163688</x:v>
      </x:c>
      <x:c r="E73" s="26" t="n">
        <x:f>IF(A73&lt;=$N$7,MAX(C73,$N$6),MAX(C73,$N$6*($N$8-A73)/($N$8-$N$7)))</x:f>
        <x:v>-0.4766492017360319</x:v>
      </x:c>
      <x:c r="F73" s="26" t="n">
        <x:f>IF(A73&lt;=$N$7,1+$N$9*A73/$N$7,$N$10+(A73-$N$7)*($N$12-$N$10)/($N$8-$N$7))</x:f>
        <x:v>2.4068639084857866</x:v>
      </x:c>
      <x:c r="G73" s="26" t="n">
        <x:f>IF(A73&lt;=$N$7,1-$N$9*A73/$N$7,$N$11+(A73-$N$7)*($N$13-$N$11)/($N$8-$N$7))</x:f>
        <x:v>-0.40686390848578635</x:v>
      </x:c>
      <x:c r="H73" s="26" t="n">
        <x:f>MIN(F73,B73)</x:f>
        <x:v>0.5300895468163688</x:v>
      </x:c>
      <x:c r="I73" s="26" t="n">
        <x:f>MAX(G73,C73)</x:f>
        <x:v>-0.40686390848578635</x:v>
      </x:c>
      <x:c r="J73" s="26" t="n">
        <x:f>MAX(D73,H73)</x:f>
        <x:v>0.5300895468163688</x:v>
      </x:c>
      <x:c r="K73" s="26" t="n">
        <x:f>MIN(E73,I73)</x:f>
        <x:v>-0.4766492017360319</x:v>
      </x:c>
      <x:c r="P73" s="26" t="n">
        <x:v>34.5</x:v>
      </x:c>
      <x:c r="Q73" s="26" t="n">
        <x:v>0.5300895468163688</x:v>
      </x:c>
      <x:c r="R73" s="26" t="n">
        <x:v>-0.4766492017360319</x:v>
      </x:c>
      <x:c r="S73" s="26" t="n">
        <x:v>0.5300895468163688</x:v>
      </x:c>
      <x:c r="T73" s="26" t="n">
        <x:v>-0.4766492017360319</x:v>
      </x:c>
      <x:c r="U73" s="26" t="n">
        <x:v>2.4068639084857866</x:v>
      </x:c>
      <x:c r="V73" s="26" t="n">
        <x:v>-0.40686390848578635</x:v>
      </x:c>
    </x:row>
    <x:row r="74">
      <x:c r="A74" s="26" t="n">
        <x:v>35</x:v>
      </x:c>
      <x:c r="B74" s="26" t="n">
        <x:f>(A74/$N$3)^2</x:f>
        <x:v>0.5455658011762671</x:v>
      </x:c>
      <x:c r="C74" s="26" t="n">
        <x:f>0-(A74/$N$4)^2</x:f>
        <x:v>-0.4905652359812134</x:v>
      </x:c>
      <x:c r="D74" s="26" t="n">
        <x:f>MIN(B74,$N$5)</x:f>
        <x:v>0.5455658011762671</x:v>
      </x:c>
      <x:c r="E74" s="26" t="n">
        <x:f>IF(A74&lt;=$N$7,MAX(C74,$N$6),MAX(C74,$N$6*($N$8-A74)/($N$8-$N$7)))</x:f>
        <x:v>-0.4905652359812134</x:v>
      </x:c>
      <x:c r="F74" s="26" t="n">
        <x:f>IF(A74&lt;=$N$7,1+$N$9*A74/$N$7,$N$10+(A74-$N$7)*($N$12-$N$10)/($N$8-$N$7))</x:f>
        <x:v>2.427253240492827</x:v>
      </x:c>
      <x:c r="G74" s="26" t="n">
        <x:f>IF(A74&lt;=$N$7,1-$N$9*A74/$N$7,$N$11+(A74-$N$7)*($N$13-$N$11)/($N$8-$N$7))</x:f>
        <x:v>-0.42725324049282687</x:v>
      </x:c>
      <x:c r="H74" s="26" t="n">
        <x:f>MIN(F74,B74)</x:f>
        <x:v>0.5455658011762671</x:v>
      </x:c>
      <x:c r="I74" s="26" t="n">
        <x:f>MAX(G74,C74)</x:f>
        <x:v>-0.42725324049282687</x:v>
      </x:c>
      <x:c r="J74" s="26" t="n">
        <x:f>MAX(D74,H74)</x:f>
        <x:v>0.5455658011762671</x:v>
      </x:c>
      <x:c r="K74" s="26" t="n">
        <x:f>MIN(E74,I74)</x:f>
        <x:v>-0.4905652359812134</x:v>
      </x:c>
      <x:c r="P74" s="26" t="n">
        <x:v>35</x:v>
      </x:c>
      <x:c r="Q74" s="26" t="n">
        <x:v>0.5455658011762671</x:v>
      </x:c>
      <x:c r="R74" s="26" t="n">
        <x:v>-0.4905652359812134</x:v>
      </x:c>
      <x:c r="S74" s="26" t="n">
        <x:v>0.5455658011762671</x:v>
      </x:c>
      <x:c r="T74" s="26" t="n">
        <x:v>-0.4905652359812134</x:v>
      </x:c>
      <x:c r="U74" s="26" t="n">
        <x:v>2.427253240492827</x:v>
      </x:c>
      <x:c r="V74" s="26" t="n">
        <x:v>-0.42725324049282665</x:v>
      </x:c>
    </x:row>
    <x:row r="75">
      <x:c r="A75" s="26" t="n">
        <x:v>35.5</x:v>
      </x:c>
      <x:c r="B75" s="26" t="n">
        <x:f>(A75/$N$3)^2</x:f>
        <x:v>0.5612647354550127</x:v>
      </x:c>
      <x:c r="C75" s="26" t="n">
        <x:f>0-(A75/$N$4)^2</x:f>
        <x:v>-0.5046815009349586</x:v>
      </x:c>
      <x:c r="D75" s="26" t="n">
        <x:f>MIN(B75,$N$5)</x:f>
        <x:v>0.5612647354550127</x:v>
      </x:c>
      <x:c r="E75" s="26" t="n">
        <x:f>IF(A75&lt;=$N$7,MAX(C75,$N$6),MAX(C75,$N$6*($N$8-A75)/($N$8-$N$7)))</x:f>
        <x:v>-0.5046815009349586</x:v>
      </x:c>
      <x:c r="F75" s="26" t="n">
        <x:f>IF(A75&lt;=$N$7,1+$N$9*A75/$N$7,$N$10+(A75-$N$7)*($N$12-$N$10)/($N$8-$N$7))</x:f>
        <x:v>2.447642572499867</x:v>
      </x:c>
      <x:c r="G75" s="26" t="n">
        <x:f>IF(A75&lt;=$N$7,1-$N$9*A75/$N$7,$N$11+(A75-$N$7)*($N$13-$N$11)/($N$8-$N$7))</x:f>
        <x:v>-0.44764257249986716</x:v>
      </x:c>
      <x:c r="H75" s="26" t="n">
        <x:f>MIN(F75,B75)</x:f>
        <x:v>0.5612647354550127</x:v>
      </x:c>
      <x:c r="I75" s="26" t="n">
        <x:f>MAX(G75,C75)</x:f>
        <x:v>-0.44764257249986716</x:v>
      </x:c>
      <x:c r="J75" s="26" t="n">
        <x:f>MAX(D75,H75)</x:f>
        <x:v>0.5612647354550127</x:v>
      </x:c>
      <x:c r="K75" s="26" t="n">
        <x:f>MIN(E75,I75)</x:f>
        <x:v>-0.5046815009349586</x:v>
      </x:c>
      <x:c r="P75" s="26" t="n">
        <x:v>35.5</x:v>
      </x:c>
      <x:c r="Q75" s="26" t="n">
        <x:v>0.5612647354550127</x:v>
      </x:c>
      <x:c r="R75" s="26" t="n">
        <x:v>-0.5046815009349586</x:v>
      </x:c>
      <x:c r="S75" s="26" t="n">
        <x:v>0.5612647354550127</x:v>
      </x:c>
      <x:c r="T75" s="26" t="n">
        <x:v>-0.5046815009349586</x:v>
      </x:c>
      <x:c r="U75" s="26" t="n">
        <x:v>2.447642572499867</x:v>
      </x:c>
      <x:c r="V75" s="26" t="n">
        <x:v>-0.44764257249986716</x:v>
      </x:c>
    </x:row>
    <x:row r="76">
      <x:c r="A76" s="26" t="n">
        <x:v>36</x:v>
      </x:c>
      <x:c r="B76" s="26" t="n">
        <x:f>(A76/$N$3)^2</x:f>
        <x:v>0.5771863496526058</x:v>
      </x:c>
      <x:c r="C76" s="26" t="n">
        <x:f>0-(A76/$N$4)^2</x:f>
        <x:v>-0.5189979965972673</x:v>
      </x:c>
      <x:c r="D76" s="26" t="n">
        <x:f>MIN(B76,$N$5)</x:f>
        <x:v>0.5771863496526058</x:v>
      </x:c>
      <x:c r="E76" s="26" t="n">
        <x:f>IF(A76&lt;=$N$7,MAX(C76,$N$6),MAX(C76,$N$6*($N$8-A76)/($N$8-$N$7)))</x:f>
        <x:v>-0.5189979965972673</x:v>
      </x:c>
      <x:c r="F76" s="26" t="n">
        <x:f>IF(A76&lt;=$N$7,1+$N$9*A76/$N$7,$N$10+(A76-$N$7)*($N$12-$N$10)/($N$8-$N$7))</x:f>
        <x:v>2.4680319045069075</x:v>
      </x:c>
      <x:c r="G76" s="26" t="n">
        <x:f>IF(A76&lt;=$N$7,1-$N$9*A76/$N$7,$N$11+(A76-$N$7)*($N$13-$N$11)/($N$8-$N$7))</x:f>
        <x:v>-0.4680319045069077</x:v>
      </x:c>
      <x:c r="H76" s="26" t="n">
        <x:f>MIN(F76,B76)</x:f>
        <x:v>0.5771863496526058</x:v>
      </x:c>
      <x:c r="I76" s="26" t="n">
        <x:f>MAX(G76,C76)</x:f>
        <x:v>-0.4680319045069077</x:v>
      </x:c>
      <x:c r="J76" s="26" t="n">
        <x:f>MAX(D76,H76)</x:f>
        <x:v>0.5771863496526058</x:v>
      </x:c>
      <x:c r="K76" s="26" t="n">
        <x:f>MIN(E76,I76)</x:f>
        <x:v>-0.5189979965972673</x:v>
      </x:c>
      <x:c r="P76" s="26" t="n">
        <x:v>36</x:v>
      </x:c>
      <x:c r="Q76" s="26" t="n">
        <x:v>0.5771863496526058</x:v>
      </x:c>
      <x:c r="R76" s="26" t="n">
        <x:v>-0.5189979965972673</x:v>
      </x:c>
      <x:c r="S76" s="26" t="n">
        <x:v>0.5771863496526058</x:v>
      </x:c>
      <x:c r="T76" s="26" t="n">
        <x:v>-0.5189979965972673</x:v>
      </x:c>
      <x:c r="U76" s="26" t="n">
        <x:v>2.4680319045069075</x:v>
      </x:c>
      <x:c r="V76" s="26" t="n">
        <x:v>-0.46803190450690746</x:v>
      </x:c>
    </x:row>
    <x:row r="77">
      <x:c r="A77" s="26" t="n">
        <x:v>36.5</x:v>
      </x:c>
      <x:c r="B77" s="26" t="n">
        <x:f>(A77/$N$3)^2</x:f>
        <x:v>0.5933306437690463</x:v>
      </x:c>
      <x:c r="C77" s="26" t="n">
        <x:f>0-(A77/$N$4)^2</x:f>
        <x:v>-0.5335147229681401</x:v>
      </x:c>
      <x:c r="D77" s="26" t="n">
        <x:f>MIN(B77,$N$5)</x:f>
        <x:v>0.5933306437690463</x:v>
      </x:c>
      <x:c r="E77" s="26" t="n">
        <x:f>IF(A77&lt;=$N$7,MAX(C77,$N$6),MAX(C77,$N$6*($N$8-A77)/($N$8-$N$7)))</x:f>
        <x:v>-0.5335147229681401</x:v>
      </x:c>
      <x:c r="F77" s="26" t="n">
        <x:f>IF(A77&lt;=$N$7,1+$N$9*A77/$N$7,$N$10+(A77-$N$7)*($N$12-$N$10)/($N$8-$N$7))</x:f>
        <x:v>2.4884212365139478</x:v>
      </x:c>
      <x:c r="G77" s="26" t="n">
        <x:f>IF(A77&lt;=$N$7,1-$N$9*A77/$N$7,$N$11+(A77-$N$7)*($N$13-$N$11)/($N$8-$N$7))</x:f>
        <x:v>-0.488421236513948</x:v>
      </x:c>
      <x:c r="H77" s="26" t="n">
        <x:f>MIN(F77,B77)</x:f>
        <x:v>0.5933306437690463</x:v>
      </x:c>
      <x:c r="I77" s="26" t="n">
        <x:f>MAX(G77,C77)</x:f>
        <x:v>-0.488421236513948</x:v>
      </x:c>
      <x:c r="J77" s="26" t="n">
        <x:f>MAX(D77,H77)</x:f>
        <x:v>0.5933306437690463</x:v>
      </x:c>
      <x:c r="K77" s="26" t="n">
        <x:f>MIN(E77,I77)</x:f>
        <x:v>-0.5335147229681401</x:v>
      </x:c>
      <x:c r="P77" s="26" t="n">
        <x:v>36.5</x:v>
      </x:c>
      <x:c r="Q77" s="26" t="n">
        <x:v>0.5933306437690463</x:v>
      </x:c>
      <x:c r="R77" s="26" t="n">
        <x:v>-0.5335147229681401</x:v>
      </x:c>
      <x:c r="S77" s="26" t="n">
        <x:v>0.5933306437690463</x:v>
      </x:c>
      <x:c r="T77" s="26" t="n">
        <x:v>-0.5335147229681401</x:v>
      </x:c>
      <x:c r="U77" s="26" t="n">
        <x:v>2.4884212365139478</x:v>
      </x:c>
      <x:c r="V77" s="26" t="n">
        <x:v>-0.488421236513948</x:v>
      </x:c>
    </x:row>
    <x:row r="78">
      <x:c r="A78" s="26" t="n">
        <x:v>37</x:v>
      </x:c>
      <x:c r="B78" s="26" t="n">
        <x:f>(A78/$N$3)^2</x:f>
        <x:v>0.6096976178043344</x:v>
      </x:c>
      <x:c r="C78" s="26" t="n">
        <x:f>0-(A78/$N$4)^2</x:f>
        <x:v>-0.5482316800475765</x:v>
      </x:c>
      <x:c r="D78" s="26" t="n">
        <x:f>MIN(B78,$N$5)</x:f>
        <x:v>0.6096976178043344</x:v>
      </x:c>
      <x:c r="E78" s="26" t="n">
        <x:f>IF(A78&lt;=$N$7,MAX(C78,$N$6),MAX(C78,$N$6*($N$8-A78)/($N$8-$N$7)))</x:f>
        <x:v>-0.5482316800475765</x:v>
      </x:c>
      <x:c r="F78" s="26" t="n">
        <x:f>IF(A78&lt;=$N$7,1+$N$9*A78/$N$7,$N$10+(A78-$N$7)*($N$12-$N$10)/($N$8-$N$7))</x:f>
        <x:v>2.508810568520988</x:v>
      </x:c>
      <x:c r="G78" s="26" t="n">
        <x:f>IF(A78&lt;=$N$7,1-$N$9*A78/$N$7,$N$11+(A78-$N$7)*($N$13-$N$11)/($N$8-$N$7))</x:f>
        <x:v>-0.5088105685209883</x:v>
      </x:c>
      <x:c r="H78" s="26" t="n">
        <x:f>MIN(F78,B78)</x:f>
        <x:v>0.6096976178043344</x:v>
      </x:c>
      <x:c r="I78" s="26" t="n">
        <x:f>MAX(G78,C78)</x:f>
        <x:v>-0.5088105685209883</x:v>
      </x:c>
      <x:c r="J78" s="26" t="n">
        <x:f>MAX(D78,H78)</x:f>
        <x:v>0.6096976178043344</x:v>
      </x:c>
      <x:c r="K78" s="26" t="n">
        <x:f>MIN(E78,I78)</x:f>
        <x:v>-0.5482316800475765</x:v>
      </x:c>
      <x:c r="P78" s="26" t="n">
        <x:v>37</x:v>
      </x:c>
      <x:c r="Q78" s="26" t="n">
        <x:v>0.6096976178043344</x:v>
      </x:c>
      <x:c r="R78" s="26" t="n">
        <x:v>-0.5482316800475765</x:v>
      </x:c>
      <x:c r="S78" s="26" t="n">
        <x:v>0.6096976178043344</x:v>
      </x:c>
      <x:c r="T78" s="26" t="n">
        <x:v>-0.5482316800475765</x:v>
      </x:c>
      <x:c r="U78" s="26" t="n">
        <x:v>2.508810568520988</x:v>
      </x:c>
      <x:c r="V78" s="26" t="n">
        <x:v>-0.5088105685209883</x:v>
      </x:c>
    </x:row>
    <x:row r="79">
      <x:c r="A79" s="26" t="n">
        <x:v>37.5</x:v>
      </x:c>
      <x:c r="B79" s="26" t="n">
        <x:f>(A79/$N$3)^2</x:f>
        <x:v>0.6262872717584698</x:v>
      </x:c>
      <x:c r="C79" s="26" t="n">
        <x:f>0-(A79/$N$4)^2</x:f>
        <x:v>-0.5631488678355765</x:v>
      </x:c>
      <x:c r="D79" s="26" t="n">
        <x:f>MIN(B79,$N$5)</x:f>
        <x:v>0.6262872717584698</x:v>
      </x:c>
      <x:c r="E79" s="26" t="n">
        <x:f>IF(A79&lt;=$N$7,MAX(C79,$N$6),MAX(C79,$N$6*($N$8-A79)/($N$8-$N$7)))</x:f>
        <x:v>-0.5631488678355765</x:v>
      </x:c>
      <x:c r="F79" s="26" t="n">
        <x:f>IF(A79&lt;=$N$7,1+$N$9*A79/$N$7,$N$10+(A79-$N$7)*($N$12-$N$10)/($N$8-$N$7))</x:f>
        <x:v>2.529199900528029</x:v>
      </x:c>
      <x:c r="G79" s="26" t="n">
        <x:f>IF(A79&lt;=$N$7,1-$N$9*A79/$N$7,$N$11+(A79-$N$7)*($N$13-$N$11)/($N$8-$N$7))</x:f>
        <x:v>-0.5291999005280288</x:v>
      </x:c>
      <x:c r="H79" s="26" t="n">
        <x:f>MIN(F79,B79)</x:f>
        <x:v>0.6262872717584698</x:v>
      </x:c>
      <x:c r="I79" s="26" t="n">
        <x:f>MAX(G79,C79)</x:f>
        <x:v>-0.5291999005280288</x:v>
      </x:c>
      <x:c r="J79" s="26" t="n">
        <x:f>MAX(D79,H79)</x:f>
        <x:v>0.6262872717584698</x:v>
      </x:c>
      <x:c r="K79" s="26" t="n">
        <x:f>MIN(E79,I79)</x:f>
        <x:v>-0.5631488678355765</x:v>
      </x:c>
      <x:c r="P79" s="26" t="n">
        <x:v>37.5</x:v>
      </x:c>
      <x:c r="Q79" s="26" t="n">
        <x:v>0.6262872717584698</x:v>
      </x:c>
      <x:c r="R79" s="26" t="n">
        <x:v>-0.5631488678355765</x:v>
      </x:c>
      <x:c r="S79" s="26" t="n">
        <x:v>0.6262872717584698</x:v>
      </x:c>
      <x:c r="T79" s="26" t="n">
        <x:v>-0.5631488678355765</x:v>
      </x:c>
      <x:c r="U79" s="26" t="n">
        <x:v>2.5291999005280283</x:v>
      </x:c>
      <x:c r="V79" s="26" t="n">
        <x:v>-0.5291999005280286</x:v>
      </x:c>
    </x:row>
    <x:row r="80">
      <x:c r="A80" s="26" t="n">
        <x:v>38</x:v>
      </x:c>
      <x:c r="B80" s="26" t="n">
        <x:f>(A80/$N$3)^2</x:f>
        <x:v>0.6430996056314527</x:v>
      </x:c>
      <x:c r="C80" s="26" t="n">
        <x:f>0-(A80/$N$4)^2</x:f>
        <x:v>-0.5782662863321405</x:v>
      </x:c>
      <x:c r="D80" s="26" t="n">
        <x:f>MIN(B80,$N$5)</x:f>
        <x:v>0.6430996056314527</x:v>
      </x:c>
      <x:c r="E80" s="26" t="n">
        <x:f>IF(A80&lt;=$N$7,MAX(C80,$N$6),MAX(C80,$N$6*($N$8-A80)/($N$8-$N$7)))</x:f>
        <x:v>-0.5782662863321405</x:v>
      </x:c>
      <x:c r="F80" s="26" t="n">
        <x:f>IF(A80&lt;=$N$7,1+$N$9*A80/$N$7,$N$10+(A80-$N$7)*($N$12-$N$10)/($N$8-$N$7))</x:f>
        <x:v>2.549589232535069</x:v>
      </x:c>
      <x:c r="G80" s="26" t="n">
        <x:f>IF(A80&lt;=$N$7,1-$N$9*A80/$N$7,$N$11+(A80-$N$7)*($N$13-$N$11)/($N$8-$N$7))</x:f>
        <x:v>-0.5495892325350691</x:v>
      </x:c>
      <x:c r="H80" s="26" t="n">
        <x:f>MIN(F80,B80)</x:f>
        <x:v>0.6430996056314527</x:v>
      </x:c>
      <x:c r="I80" s="26" t="n">
        <x:f>MAX(G80,C80)</x:f>
        <x:v>-0.5495892325350691</x:v>
      </x:c>
      <x:c r="J80" s="26" t="n">
        <x:f>MAX(D80,H80)</x:f>
        <x:v>0.6430996056314527</x:v>
      </x:c>
      <x:c r="K80" s="26" t="n">
        <x:f>MIN(E80,I80)</x:f>
        <x:v>-0.5782662863321405</x:v>
      </x:c>
      <x:c r="P80" s="26" t="n">
        <x:v>38</x:v>
      </x:c>
      <x:c r="Q80" s="26" t="n">
        <x:v>0.6430996056314527</x:v>
      </x:c>
      <x:c r="R80" s="26" t="n">
        <x:v>-0.5782662863321405</x:v>
      </x:c>
      <x:c r="S80" s="26" t="n">
        <x:v>0.6430996056314527</x:v>
      </x:c>
      <x:c r="T80" s="26" t="n">
        <x:v>-0.5782662863321405</x:v>
      </x:c>
      <x:c r="U80" s="26" t="n">
        <x:v>2.549589232535069</x:v>
      </x:c>
      <x:c r="V80" s="26" t="n">
        <x:v>-0.5495892325350691</x:v>
      </x:c>
    </x:row>
    <x:row r="81">
      <x:c r="A81" s="26" t="n">
        <x:v>38.5</x:v>
      </x:c>
      <x:c r="B81" s="26" t="n">
        <x:f>(A81/$N$3)^2</x:f>
        <x:v>0.6601346194232831</x:v>
      </x:c>
      <x:c r="C81" s="26" t="n">
        <x:f>0-(A81/$N$4)^2</x:f>
        <x:v>-0.5935839355372683</x:v>
      </x:c>
      <x:c r="D81" s="26" t="n">
        <x:f>MIN(B81,$N$5)</x:f>
        <x:v>0.6601346194232831</x:v>
      </x:c>
      <x:c r="E81" s="26" t="n">
        <x:f>IF(A81&lt;=$N$7,MAX(C81,$N$6),MAX(C81,$N$6*($N$8-A81)/($N$8-$N$7)))</x:f>
        <x:v>-0.5935839355372683</x:v>
      </x:c>
      <x:c r="F81" s="26" t="n">
        <x:f>IF(A81&lt;=$N$7,1+$N$9*A81/$N$7,$N$10+(A81-$N$7)*($N$12-$N$10)/($N$8-$N$7))</x:f>
        <x:v>2.56997856454211</x:v>
      </x:c>
      <x:c r="G81" s="26" t="n">
        <x:f>IF(A81&lt;=$N$7,1-$N$9*A81/$N$7,$N$11+(A81-$N$7)*($N$13-$N$11)/($N$8-$N$7))</x:f>
        <x:v>-0.5699785645421096</x:v>
      </x:c>
      <x:c r="H81" s="26" t="n">
        <x:f>MIN(F81,B81)</x:f>
        <x:v>0.6601346194232831</x:v>
      </x:c>
      <x:c r="I81" s="26" t="n">
        <x:f>MAX(G81,C81)</x:f>
        <x:v>-0.5699785645421096</x:v>
      </x:c>
      <x:c r="J81" s="26" t="n">
        <x:f>MAX(D81,H81)</x:f>
        <x:v>0.6601346194232831</x:v>
      </x:c>
      <x:c r="K81" s="26" t="n">
        <x:f>MIN(E81,I81)</x:f>
        <x:v>-0.5935839355372683</x:v>
      </x:c>
      <x:c r="P81" s="26" t="n">
        <x:v>38.5</x:v>
      </x:c>
      <x:c r="Q81" s="26" t="n">
        <x:v>0.6601346194232831</x:v>
      </x:c>
      <x:c r="R81" s="26" t="n">
        <x:v>-0.5935839355372683</x:v>
      </x:c>
      <x:c r="S81" s="26" t="n">
        <x:v>0.6601346194232831</x:v>
      </x:c>
      <x:c r="T81" s="26" t="n">
        <x:v>-0.5935839355372683</x:v>
      </x:c>
      <x:c r="U81" s="26" t="n">
        <x:v>2.5699785645421094</x:v>
      </x:c>
      <x:c r="V81" s="26" t="n">
        <x:v>-0.5699785645421094</x:v>
      </x:c>
    </x:row>
    <x:row r="82">
      <x:c r="A82" s="26" t="n">
        <x:v>39</x:v>
      </x:c>
      <x:c r="B82" s="26" t="n">
        <x:f>(A82/$N$3)^2</x:f>
        <x:v>0.6773923131339609</x:v>
      </x:c>
      <x:c r="C82" s="26" t="n">
        <x:f>0-(A82/$N$4)^2</x:f>
        <x:v>-0.6091018154509595</x:v>
      </x:c>
      <x:c r="D82" s="26" t="n">
        <x:f>MIN(B82,$N$5)</x:f>
        <x:v>0.6773923131339609</x:v>
      </x:c>
      <x:c r="E82" s="26" t="n">
        <x:f>IF(A82&lt;=$N$7,MAX(C82,$N$6),MAX(C82,$N$6*($N$8-A82)/($N$8-$N$7)))</x:f>
        <x:v>-0.6091018154509595</x:v>
      </x:c>
      <x:c r="F82" s="26" t="n">
        <x:f>IF(A82&lt;=$N$7,1+$N$9*A82/$N$7,$N$10+(A82-$N$7)*($N$12-$N$10)/($N$8-$N$7))</x:f>
        <x:v>2.59036789654915</x:v>
      </x:c>
      <x:c r="G82" s="26" t="n">
        <x:f>IF(A82&lt;=$N$7,1-$N$9*A82/$N$7,$N$11+(A82-$N$7)*($N$13-$N$11)/($N$8-$N$7))</x:f>
        <x:v>-0.5903678965491499</x:v>
      </x:c>
      <x:c r="H82" s="26" t="n">
        <x:f>MIN(F82,B82)</x:f>
        <x:v>0.6773923131339609</x:v>
      </x:c>
      <x:c r="I82" s="26" t="n">
        <x:f>MAX(G82,C82)</x:f>
        <x:v>-0.5903678965491499</x:v>
      </x:c>
      <x:c r="J82" s="26" t="n">
        <x:f>MAX(D82,H82)</x:f>
        <x:v>0.6773923131339609</x:v>
      </x:c>
      <x:c r="K82" s="26" t="n">
        <x:f>MIN(E82,I82)</x:f>
        <x:v>-0.6091018154509595</x:v>
      </x:c>
      <x:c r="P82" s="26" t="n">
        <x:v>39</x:v>
      </x:c>
      <x:c r="Q82" s="26" t="n">
        <x:v>0.6773923131339609</x:v>
      </x:c>
      <x:c r="R82" s="26" t="n">
        <x:v>-0.6091018154509595</x:v>
      </x:c>
      <x:c r="S82" s="26" t="n">
        <x:v>0.6773923131339609</x:v>
      </x:c>
      <x:c r="T82" s="26" t="n">
        <x:v>-0.6091018154509595</x:v>
      </x:c>
      <x:c r="U82" s="26" t="n">
        <x:v>2.5903678965491497</x:v>
      </x:c>
      <x:c r="V82" s="26" t="n">
        <x:v>-0.5903678965491497</x:v>
      </x:c>
    </x:row>
    <x:row r="83">
      <x:c r="A83" s="26" t="n">
        <x:v>39.5</x:v>
      </x:c>
      <x:c r="B83" s="26" t="n">
        <x:f>(A83/$N$3)^2</x:f>
        <x:v>0.6948726867634862</x:v>
      </x:c>
      <x:c r="C83" s="26" t="n">
        <x:f>0-(A83/$N$4)^2</x:f>
        <x:v>-0.6248199260732149</x:v>
      </x:c>
      <x:c r="D83" s="26" t="n">
        <x:f>MIN(B83,$N$5)</x:f>
        <x:v>0.6948726867634862</x:v>
      </x:c>
      <x:c r="E83" s="26" t="n">
        <x:f>IF(A83&lt;=$N$7,MAX(C83,$N$6),MAX(C83,$N$6*($N$8-A83)/($N$8-$N$7)))</x:f>
        <x:v>-0.6248199260732149</x:v>
      </x:c>
      <x:c r="F83" s="26" t="n">
        <x:f>IF(A83&lt;=$N$7,1+$N$9*A83/$N$7,$N$10+(A83-$N$7)*($N$12-$N$10)/($N$8-$N$7))</x:f>
        <x:v>2.6107572285561904</x:v>
      </x:c>
      <x:c r="G83" s="26" t="n">
        <x:f>IF(A83&lt;=$N$7,1-$N$9*A83/$N$7,$N$11+(A83-$N$7)*($N$13-$N$11)/($N$8-$N$7))</x:f>
        <x:v>-0.6107572285561902</x:v>
      </x:c>
      <x:c r="H83" s="26" t="n">
        <x:f>MIN(F83,B83)</x:f>
        <x:v>0.6948726867634862</x:v>
      </x:c>
      <x:c r="I83" s="26" t="n">
        <x:f>MAX(G83,C83)</x:f>
        <x:v>-0.6107572285561902</x:v>
      </x:c>
      <x:c r="J83" s="26" t="n">
        <x:f>MAX(D83,H83)</x:f>
        <x:v>0.6948726867634862</x:v>
      </x:c>
      <x:c r="K83" s="26" t="n">
        <x:f>MIN(E83,I83)</x:f>
        <x:v>-0.6248199260732149</x:v>
      </x:c>
      <x:c r="P83" s="26" t="n">
        <x:v>39.5</x:v>
      </x:c>
      <x:c r="Q83" s="26" t="n">
        <x:v>0.6948726867634862</x:v>
      </x:c>
      <x:c r="R83" s="26" t="n">
        <x:v>-0.6248199260732149</x:v>
      </x:c>
      <x:c r="S83" s="26" t="n">
        <x:v>0.6948726867634862</x:v>
      </x:c>
      <x:c r="T83" s="26" t="n">
        <x:v>-0.6248199260732149</x:v>
      </x:c>
      <x:c r="U83" s="26" t="n">
        <x:v>2.6107572285561904</x:v>
      </x:c>
      <x:c r="V83" s="26" t="n">
        <x:v>-0.6107572285561902</x:v>
      </x:c>
    </x:row>
    <x:row r="84">
      <x:c r="A84" s="26" t="n">
        <x:v>40</x:v>
      </x:c>
      <x:c r="B84" s="26" t="n">
        <x:f>(A84/$N$3)^2</x:f>
        <x:v>0.7125757403118589</x:v>
      </x:c>
      <x:c r="C84" s="26" t="n">
        <x:f>0-(A84/$N$4)^2</x:f>
        <x:v>-0.6407382674040338</x:v>
      </x:c>
      <x:c r="D84" s="26" t="n">
        <x:f>MIN(B84,$N$5)</x:f>
        <x:v>0.7125757403118589</x:v>
      </x:c>
      <x:c r="E84" s="26" t="n">
        <x:f>IF(A84&lt;=$N$7,MAX(C84,$N$6),MAX(C84,$N$6*($N$8-A84)/($N$8-$N$7)))</x:f>
        <x:v>-0.6407382674040338</x:v>
      </x:c>
      <x:c r="F84" s="26" t="n">
        <x:f>IF(A84&lt;=$N$7,1+$N$9*A84/$N$7,$N$10+(A84-$N$7)*($N$12-$N$10)/($N$8-$N$7))</x:f>
        <x:v>2.6311465605632307</x:v>
      </x:c>
      <x:c r="G84" s="26" t="n">
        <x:f>IF(A84&lt;=$N$7,1-$N$9*A84/$N$7,$N$11+(A84-$N$7)*($N$13-$N$11)/($N$8-$N$7))</x:f>
        <x:v>-0.6311465605632307</x:v>
      </x:c>
      <x:c r="H84" s="26" t="n">
        <x:f>MIN(F84,B84)</x:f>
        <x:v>0.7125757403118589</x:v>
      </x:c>
      <x:c r="I84" s="26" t="n">
        <x:f>MAX(G84,C84)</x:f>
        <x:v>-0.6311465605632307</x:v>
      </x:c>
      <x:c r="J84" s="26" t="n">
        <x:f>MAX(D84,H84)</x:f>
        <x:v>0.7125757403118589</x:v>
      </x:c>
      <x:c r="K84" s="26" t="n">
        <x:f>MIN(E84,I84)</x:f>
        <x:v>-0.6407382674040338</x:v>
      </x:c>
      <x:c r="P84" s="26" t="n">
        <x:v>40</x:v>
      </x:c>
      <x:c r="Q84" s="26" t="n">
        <x:v>0.7125757403118589</x:v>
      </x:c>
      <x:c r="R84" s="26" t="n">
        <x:v>-0.6407382674040338</x:v>
      </x:c>
      <x:c r="S84" s="26" t="n">
        <x:v>0.7125757403118589</x:v>
      </x:c>
      <x:c r="T84" s="26" t="n">
        <x:v>-0.6407382674040338</x:v>
      </x:c>
      <x:c r="U84" s="26" t="n">
        <x:v>2.6311465605632307</x:v>
      </x:c>
      <x:c r="V84" s="26" t="n">
        <x:v>-0.6311465605632305</x:v>
      </x:c>
    </x:row>
    <x:row r="85">
      <x:c r="A85" s="26" t="n">
        <x:v>40.5</x:v>
      </x:c>
      <x:c r="B85" s="26" t="n">
        <x:f>(A85/$N$3)^2</x:f>
        <x:v>0.7305014737790791</x:v>
      </x:c>
      <x:c r="C85" s="26" t="n">
        <x:f>0-(A85/$N$4)^2</x:f>
        <x:v>-0.6568568394434164</x:v>
      </x:c>
      <x:c r="D85" s="26" t="n">
        <x:f>MIN(B85,$N$5)</x:f>
        <x:v>0.7305014737790791</x:v>
      </x:c>
      <x:c r="E85" s="26" t="n">
        <x:f>IF(A85&lt;=$N$7,MAX(C85,$N$6),MAX(C85,$N$6*($N$8-A85)/($N$8-$N$7)))</x:f>
        <x:v>-0.6568568394434164</x:v>
      </x:c>
      <x:c r="F85" s="26" t="n">
        <x:f>IF(A85&lt;=$N$7,1+$N$9*A85/$N$7,$N$10+(A85-$N$7)*($N$12-$N$10)/($N$8-$N$7))</x:f>
        <x:v>2.651535892570271</x:v>
      </x:c>
      <x:c r="G85" s="26" t="n">
        <x:f>IF(A85&lt;=$N$7,1-$N$9*A85/$N$7,$N$11+(A85-$N$7)*($N$13-$N$11)/($N$8-$N$7))</x:f>
        <x:v>-0.6515358925702708</x:v>
      </x:c>
      <x:c r="H85" s="26" t="n">
        <x:f>MIN(F85,B85)</x:f>
        <x:v>0.7305014737790791</x:v>
      </x:c>
      <x:c r="I85" s="26" t="n">
        <x:f>MAX(G85,C85)</x:f>
        <x:v>-0.6515358925702708</x:v>
      </x:c>
      <x:c r="J85" s="26" t="n">
        <x:f>MAX(D85,H85)</x:f>
        <x:v>0.7305014737790791</x:v>
      </x:c>
      <x:c r="K85" s="26" t="n">
        <x:f>MIN(E85,I85)</x:f>
        <x:v>-0.6568568394434164</x:v>
      </x:c>
      <x:c r="P85" s="26" t="n">
        <x:v>40.5</x:v>
      </x:c>
      <x:c r="Q85" s="26" t="n">
        <x:v>0.7305014737790791</x:v>
      </x:c>
      <x:c r="R85" s="26" t="n">
        <x:v>-0.6568568394434164</x:v>
      </x:c>
      <x:c r="S85" s="26" t="n">
        <x:v>0.7305014737790791</x:v>
      </x:c>
      <x:c r="T85" s="26" t="n">
        <x:v>-0.6568568394434164</x:v>
      </x:c>
      <x:c r="U85" s="26" t="n">
        <x:v>2.651535892570271</x:v>
      </x:c>
      <x:c r="V85" s="26" t="n">
        <x:v>-0.651535892570271</x:v>
      </x:c>
    </x:row>
    <x:row r="86">
      <x:c r="A86" s="26" t="n">
        <x:v>41</x:v>
      </x:c>
      <x:c r="B86" s="26" t="n">
        <x:f>(A86/$N$3)^2</x:f>
        <x:v>0.7486498871651468</x:v>
      </x:c>
      <x:c r="C86" s="26" t="n">
        <x:f>0-(A86/$N$4)^2</x:f>
        <x:v>-0.673175642191363</x:v>
      </x:c>
      <x:c r="D86" s="26" t="n">
        <x:f>MIN(B86,$N$5)</x:f>
        <x:v>0.7486498871651468</x:v>
      </x:c>
      <x:c r="E86" s="26" t="n">
        <x:f>IF(A86&lt;=$N$7,MAX(C86,$N$6),MAX(C86,$N$6*($N$8-A86)/($N$8-$N$7)))</x:f>
        <x:v>-0.673175642191363</x:v>
      </x:c>
      <x:c r="F86" s="26" t="n">
        <x:f>IF(A86&lt;=$N$7,1+$N$9*A86/$N$7,$N$10+(A86-$N$7)*($N$12-$N$10)/($N$8-$N$7))</x:f>
        <x:v>2.6719252245773113</x:v>
      </x:c>
      <x:c r="G86" s="26" t="n">
        <x:f>IF(A86&lt;=$N$7,1-$N$9*A86/$N$7,$N$11+(A86-$N$7)*($N$13-$N$11)/($N$8-$N$7))</x:f>
        <x:v>-0.6719252245773113</x:v>
      </x:c>
      <x:c r="H86" s="26" t="n">
        <x:f>MIN(F86,B86)</x:f>
        <x:v>0.7486498871651468</x:v>
      </x:c>
      <x:c r="I86" s="26" t="n">
        <x:f>MAX(G86,C86)</x:f>
        <x:v>-0.6719252245773113</x:v>
      </x:c>
      <x:c r="J86" s="26" t="n">
        <x:f>MAX(D86,H86)</x:f>
        <x:v>0.7486498871651468</x:v>
      </x:c>
      <x:c r="K86" s="26" t="n">
        <x:f>MIN(E86,I86)</x:f>
        <x:v>-0.673175642191363</x:v>
      </x:c>
      <x:c r="P86" s="26" t="n">
        <x:v>41</x:v>
      </x:c>
      <x:c r="Q86" s="26" t="n">
        <x:v>0.7486498871651468</x:v>
      </x:c>
      <x:c r="R86" s="26" t="n">
        <x:v>-0.673175642191363</x:v>
      </x:c>
      <x:c r="S86" s="26" t="n">
        <x:v>0.7486498871651468</x:v>
      </x:c>
      <x:c r="T86" s="26" t="n">
        <x:v>-0.673175642191363</x:v>
      </x:c>
      <x:c r="U86" s="26" t="n">
        <x:v>2.6719252245773113</x:v>
      </x:c>
      <x:c r="V86" s="26" t="n">
        <x:v>-0.6719252245773113</x:v>
      </x:c>
    </x:row>
    <x:row r="87">
      <x:c r="A87" s="26" t="n">
        <x:v>41.5</x:v>
      </x:c>
      <x:c r="B87" s="26" t="n">
        <x:f>(A87/$N$3)^2</x:f>
        <x:v>0.767020980470062</x:v>
      </x:c>
      <x:c r="C87" s="26" t="n">
        <x:f>0-(A87/$N$4)^2</x:f>
        <x:v>-0.6896946756478733</x:v>
      </x:c>
      <x:c r="D87" s="26" t="n">
        <x:f>MIN(B87,$N$5)</x:f>
        <x:v>0.767020980470062</x:v>
      </x:c>
      <x:c r="E87" s="26" t="n">
        <x:f>IF(A87&lt;=$N$7,MAX(C87,$N$6),MAX(C87,$N$6*($N$8-A87)/($N$8-$N$7)))</x:f>
        <x:v>-0.6896946756478733</x:v>
      </x:c>
      <x:c r="F87" s="26" t="n">
        <x:f>IF(A87&lt;=$N$7,1+$N$9*A87/$N$7,$N$10+(A87-$N$7)*($N$12-$N$10)/($N$8-$N$7))</x:f>
        <x:v>2.6923145565843516</x:v>
      </x:c>
      <x:c r="G87" s="26" t="n">
        <x:f>IF(A87&lt;=$N$7,1-$N$9*A87/$N$7,$N$11+(A87-$N$7)*($N$13-$N$11)/($N$8-$N$7))</x:f>
        <x:v>-0.6923145565843516</x:v>
      </x:c>
      <x:c r="H87" s="26" t="n">
        <x:f>MIN(F87,B87)</x:f>
        <x:v>0.767020980470062</x:v>
      </x:c>
      <x:c r="I87" s="26" t="n">
        <x:f>MAX(G87,C87)</x:f>
        <x:v>-0.6896946756478733</x:v>
      </x:c>
      <x:c r="J87" s="26" t="n">
        <x:f>MAX(D87,H87)</x:f>
        <x:v>0.767020980470062</x:v>
      </x:c>
      <x:c r="K87" s="26" t="n">
        <x:f>MIN(E87,I87)</x:f>
        <x:v>-0.6896946756478733</x:v>
      </x:c>
      <x:c r="P87" s="26" t="n">
        <x:v>41.5</x:v>
      </x:c>
      <x:c r="Q87" s="26" t="n">
        <x:v>0.767020980470062</x:v>
      </x:c>
      <x:c r="R87" s="26" t="n">
        <x:v>-0.6896946756478733</x:v>
      </x:c>
      <x:c r="S87" s="26" t="n">
        <x:v>0.767020980470062</x:v>
      </x:c>
      <x:c r="T87" s="26" t="n">
        <x:v>-0.6896946756478733</x:v>
      </x:c>
      <x:c r="U87" s="26" t="n">
        <x:v>2.6923145565843516</x:v>
      </x:c>
      <x:c r="V87" s="26" t="n">
        <x:v>-0.6923145565843516</x:v>
      </x:c>
    </x:row>
    <x:row r="88">
      <x:c r="A88" s="26" t="n">
        <x:v>42</x:v>
      </x:c>
      <x:c r="B88" s="26" t="n">
        <x:f>(A88/$N$3)^2</x:f>
        <x:v>0.7856147536938245</x:v>
      </x:c>
      <x:c r="C88" s="26" t="n">
        <x:f>0-(A88/$N$4)^2</x:f>
        <x:v>-0.7064139398129472</x:v>
      </x:c>
      <x:c r="D88" s="26" t="n">
        <x:f>MIN(B88,$N$5)</x:f>
        <x:v>0.7856147536938245</x:v>
      </x:c>
      <x:c r="E88" s="26" t="n">
        <x:f>IF(A88&lt;=$N$7,MAX(C88,$N$6),MAX(C88,$N$6*($N$8-A88)/($N$8-$N$7)))</x:f>
        <x:v>-0.7064139398129472</x:v>
      </x:c>
      <x:c r="F88" s="26" t="n">
        <x:f>IF(A88&lt;=$N$7,1+$N$9*A88/$N$7,$N$10+(A88-$N$7)*($N$12-$N$10)/($N$8-$N$7))</x:f>
        <x:v>2.712703888591392</x:v>
      </x:c>
      <x:c r="G88" s="26" t="n">
        <x:f>IF(A88&lt;=$N$7,1-$N$9*A88/$N$7,$N$11+(A88-$N$7)*($N$13-$N$11)/($N$8-$N$7))</x:f>
        <x:v>-0.7127038885913921</x:v>
      </x:c>
      <x:c r="H88" s="26" t="n">
        <x:f>MIN(F88,B88)</x:f>
        <x:v>0.7856147536938245</x:v>
      </x:c>
      <x:c r="I88" s="26" t="n">
        <x:f>MAX(G88,C88)</x:f>
        <x:v>-0.7064139398129472</x:v>
      </x:c>
      <x:c r="J88" s="26" t="n">
        <x:f>MAX(D88,H88)</x:f>
        <x:v>0.7856147536938245</x:v>
      </x:c>
      <x:c r="K88" s="26" t="n">
        <x:f>MIN(E88,I88)</x:f>
        <x:v>-0.7064139398129472</x:v>
      </x:c>
      <x:c r="P88" s="26" t="n">
        <x:v>42</x:v>
      </x:c>
      <x:c r="Q88" s="26" t="n">
        <x:v>0.7856147536938245</x:v>
      </x:c>
      <x:c r="R88" s="26" t="n">
        <x:v>-0.7064139398129472</x:v>
      </x:c>
      <x:c r="S88" s="26" t="n">
        <x:v>0.7856147536938245</x:v>
      </x:c>
      <x:c r="T88" s="26" t="n">
        <x:v>-0.7064139398129472</x:v>
      </x:c>
      <x:c r="U88" s="26" t="n">
        <x:v>2.712703888591392</x:v>
      </x:c>
      <x:c r="V88" s="26" t="n">
        <x:v>-0.7127038885913921</x:v>
      </x:c>
    </x:row>
    <x:row r="89">
      <x:c r="A89" s="26" t="n">
        <x:v>42.5</x:v>
      </x:c>
      <x:c r="B89" s="26" t="n">
        <x:f>(A89/$N$3)^2</x:f>
        <x:v>0.8044312068364345</x:v>
      </x:c>
      <x:c r="C89" s="26" t="n">
        <x:f>0-(A89/$N$4)^2</x:f>
        <x:v>-0.7233334346865851</x:v>
      </x:c>
      <x:c r="D89" s="26" t="n">
        <x:f>MIN(B89,$N$5)</x:f>
        <x:v>0.8044312068364345</x:v>
      </x:c>
      <x:c r="E89" s="26" t="n">
        <x:f>IF(A89&lt;=$N$7,MAX(C89,$N$6),MAX(C89,$N$6*($N$8-A89)/($N$8-$N$7)))</x:f>
        <x:v>-0.7233334346865851</x:v>
      </x:c>
      <x:c r="F89" s="26" t="n">
        <x:f>IF(A89&lt;=$N$7,1+$N$9*A89/$N$7,$N$10+(A89-$N$7)*($N$12-$N$10)/($N$8-$N$7))</x:f>
        <x:v>2.733093220598432</x:v>
      </x:c>
      <x:c r="G89" s="26" t="n">
        <x:f>IF(A89&lt;=$N$7,1-$N$9*A89/$N$7,$N$11+(A89-$N$7)*($N$13-$N$11)/($N$8-$N$7))</x:f>
        <x:v>-0.7330932205984324</x:v>
      </x:c>
      <x:c r="H89" s="26" t="n">
        <x:f>MIN(F89,B89)</x:f>
        <x:v>0.8044312068364345</x:v>
      </x:c>
      <x:c r="I89" s="26" t="n">
        <x:f>MAX(G89,C89)</x:f>
        <x:v>-0.7233334346865851</x:v>
      </x:c>
      <x:c r="J89" s="26" t="n">
        <x:f>MAX(D89,H89)</x:f>
        <x:v>0.8044312068364345</x:v>
      </x:c>
      <x:c r="K89" s="26" t="n">
        <x:f>MIN(E89,I89)</x:f>
        <x:v>-0.7233334346865851</x:v>
      </x:c>
      <x:c r="P89" s="26" t="n">
        <x:v>42.5</x:v>
      </x:c>
      <x:c r="Q89" s="26" t="n">
        <x:v>0.8044312068364345</x:v>
      </x:c>
      <x:c r="R89" s="26" t="n">
        <x:v>-0.7233334346865851</x:v>
      </x:c>
      <x:c r="S89" s="26" t="n">
        <x:v>0.8044312068364345</x:v>
      </x:c>
      <x:c r="T89" s="26" t="n">
        <x:v>-0.7233334346865851</x:v>
      </x:c>
      <x:c r="U89" s="26" t="n">
        <x:v>2.733093220598432</x:v>
      </x:c>
      <x:c r="V89" s="26" t="n">
        <x:v>-0.7330932205984324</x:v>
      </x:c>
    </x:row>
    <x:row r="90">
      <x:c r="A90" s="26" t="n">
        <x:v>43</x:v>
      </x:c>
      <x:c r="B90" s="26" t="n">
        <x:f>(A90/$N$3)^2</x:f>
        <x:v>0.823470339897892</x:v>
      </x:c>
      <x:c r="C90" s="26" t="n">
        <x:f>0-(A90/$N$4)^2</x:f>
        <x:v>-0.7404531602687865</x:v>
      </x:c>
      <x:c r="D90" s="26" t="n">
        <x:f>MIN(B90,$N$5)</x:f>
        <x:v>0.823470339897892</x:v>
      </x:c>
      <x:c r="E90" s="26" t="n">
        <x:f>IF(A90&lt;=$N$7,MAX(C90,$N$6),MAX(C90,$N$6*($N$8-A90)/($N$8-$N$7)))</x:f>
        <x:v>-0.7404531602687865</x:v>
      </x:c>
      <x:c r="F90" s="26" t="n">
        <x:f>IF(A90&lt;=$N$7,1+$N$9*A90/$N$7,$N$10+(A90-$N$7)*($N$12-$N$10)/($N$8-$N$7))</x:f>
        <x:v>2.7534825526054725</x:v>
      </x:c>
      <x:c r="G90" s="26" t="n">
        <x:f>IF(A90&lt;=$N$7,1-$N$9*A90/$N$7,$N$11+(A90-$N$7)*($N$13-$N$11)/($N$8-$N$7))</x:f>
        <x:v>-0.7534825526054727</x:v>
      </x:c>
      <x:c r="H90" s="26" t="n">
        <x:f>MIN(F90,B90)</x:f>
        <x:v>0.823470339897892</x:v>
      </x:c>
      <x:c r="I90" s="26" t="n">
        <x:f>MAX(G90,C90)</x:f>
        <x:v>-0.7404531602687865</x:v>
      </x:c>
      <x:c r="J90" s="26" t="n">
        <x:f>MAX(D90,H90)</x:f>
        <x:v>0.823470339897892</x:v>
      </x:c>
      <x:c r="K90" s="26" t="n">
        <x:f>MIN(E90,I90)</x:f>
        <x:v>-0.7404531602687865</x:v>
      </x:c>
      <x:c r="P90" s="26" t="n">
        <x:v>43</x:v>
      </x:c>
      <x:c r="Q90" s="26" t="n">
        <x:v>0.823470339897892</x:v>
      </x:c>
      <x:c r="R90" s="26" t="n">
        <x:v>-0.7404531602687865</x:v>
      </x:c>
      <x:c r="S90" s="26" t="n">
        <x:v>0.823470339897892</x:v>
      </x:c>
      <x:c r="T90" s="26" t="n">
        <x:v>-0.7404531602687865</x:v>
      </x:c>
      <x:c r="U90" s="26" t="n">
        <x:v>2.753482552605473</x:v>
      </x:c>
      <x:c r="V90" s="26" t="n">
        <x:v>-0.7534825526054729</x:v>
      </x:c>
    </x:row>
    <x:row r="91">
      <x:c r="A91" s="26" t="n">
        <x:v>43.5</x:v>
      </x:c>
      <x:c r="B91" s="26" t="n">
        <x:f>(A91/$N$3)^2</x:f>
        <x:v>0.842732152878197</x:v>
      </x:c>
      <x:c r="C91" s="26" t="n">
        <x:f>0-(A91/$N$4)^2</x:f>
        <x:v>-0.7577731165595518</x:v>
      </x:c>
      <x:c r="D91" s="26" t="n">
        <x:f>MIN(B91,$N$5)</x:f>
        <x:v>0.842732152878197</x:v>
      </x:c>
      <x:c r="E91" s="26" t="n">
        <x:f>IF(A91&lt;=$N$7,MAX(C91,$N$6),MAX(C91,$N$6*($N$8-A91)/($N$8-$N$7)))</x:f>
        <x:v>-0.7577731165595518</x:v>
      </x:c>
      <x:c r="F91" s="26" t="n">
        <x:f>IF(A91&lt;=$N$7,1+$N$9*A91/$N$7,$N$10+(A91-$N$7)*($N$12-$N$10)/($N$8-$N$7))</x:f>
        <x:v>2.773871884612513</x:v>
      </x:c>
      <x:c r="G91" s="26" t="n">
        <x:f>IF(A91&lt;=$N$7,1-$N$9*A91/$N$7,$N$11+(A91-$N$7)*($N$13-$N$11)/($N$8-$N$7))</x:f>
        <x:v>-0.7738718846125132</x:v>
      </x:c>
      <x:c r="H91" s="26" t="n">
        <x:f>MIN(F91,B91)</x:f>
        <x:v>0.842732152878197</x:v>
      </x:c>
      <x:c r="I91" s="26" t="n">
        <x:f>MAX(G91,C91)</x:f>
        <x:v>-0.7577731165595518</x:v>
      </x:c>
      <x:c r="J91" s="26" t="n">
        <x:f>MAX(D91,H91)</x:f>
        <x:v>0.842732152878197</x:v>
      </x:c>
      <x:c r="K91" s="26" t="n">
        <x:f>MIN(E91,I91)</x:f>
        <x:v>-0.7577731165595518</x:v>
      </x:c>
      <x:c r="P91" s="26" t="n">
        <x:v>43.5</x:v>
      </x:c>
      <x:c r="Q91" s="26" t="n">
        <x:v>0.842732152878197</x:v>
      </x:c>
      <x:c r="R91" s="26" t="n">
        <x:v>-0.7577731165595518</x:v>
      </x:c>
      <x:c r="S91" s="26" t="n">
        <x:v>0.842732152878197</x:v>
      </x:c>
      <x:c r="T91" s="26" t="n">
        <x:v>-0.7577731165595518</x:v>
      </x:c>
      <x:c r="U91" s="26" t="n">
        <x:v>2.773871884612513</x:v>
      </x:c>
      <x:c r="V91" s="26" t="n">
        <x:v>-0.7738718846125132</x:v>
      </x:c>
    </x:row>
    <x:row r="92">
      <x:c r="A92" s="26" t="n">
        <x:v>44</x:v>
      </x:c>
      <x:c r="B92" s="26" t="n">
        <x:f>(A92/$N$3)^2</x:f>
        <x:v>0.8622166457773494</x:v>
      </x:c>
      <x:c r="C92" s="26" t="n">
        <x:f>0-(A92/$N$4)^2</x:f>
        <x:v>-0.7752933035588809</x:v>
      </x:c>
      <x:c r="D92" s="26" t="n">
        <x:f>MIN(B92,$N$5)</x:f>
        <x:v>0.8622166457773494</x:v>
      </x:c>
      <x:c r="E92" s="26" t="n">
        <x:f>IF(A92&lt;=$N$7,MAX(C92,$N$6),MAX(C92,$N$6*($N$8-A92)/($N$8-$N$7)))</x:f>
        <x:v>-0.7752933035588809</x:v>
      </x:c>
      <x:c r="F92" s="26" t="n">
        <x:f>IF(A92&lt;=$N$7,1+$N$9*A92/$N$7,$N$10+(A92-$N$7)*($N$12-$N$10)/($N$8-$N$7))</x:f>
        <x:v>2.7942612166195535</x:v>
      </x:c>
      <x:c r="G92" s="26" t="n">
        <x:f>IF(A92&lt;=$N$7,1-$N$9*A92/$N$7,$N$11+(A92-$N$7)*($N$13-$N$11)/($N$8-$N$7))</x:f>
        <x:v>-0.7942612166195535</x:v>
      </x:c>
      <x:c r="H92" s="26" t="n">
        <x:f>MIN(F92,B92)</x:f>
        <x:v>0.8622166457773494</x:v>
      </x:c>
      <x:c r="I92" s="26" t="n">
        <x:f>MAX(G92,C92)</x:f>
        <x:v>-0.7752933035588809</x:v>
      </x:c>
      <x:c r="J92" s="26" t="n">
        <x:f>MAX(D92,H92)</x:f>
        <x:v>0.8622166457773494</x:v>
      </x:c>
      <x:c r="K92" s="26" t="n">
        <x:f>MIN(E92,I92)</x:f>
        <x:v>-0.7752933035588809</x:v>
      </x:c>
      <x:c r="P92" s="26" t="n">
        <x:v>44</x:v>
      </x:c>
      <x:c r="Q92" s="26" t="n">
        <x:v>0.8622166457773494</x:v>
      </x:c>
      <x:c r="R92" s="26" t="n">
        <x:v>-0.7752933035588809</x:v>
      </x:c>
      <x:c r="S92" s="26" t="n">
        <x:v>0.8622166457773494</x:v>
      </x:c>
      <x:c r="T92" s="26" t="n">
        <x:v>-0.7752933035588809</x:v>
      </x:c>
      <x:c r="U92" s="26" t="n">
        <x:v>2.7942612166195535</x:v>
      </x:c>
      <x:c r="V92" s="26" t="n">
        <x:v>-0.7942612166195535</x:v>
      </x:c>
    </x:row>
    <x:row r="93">
      <x:c r="A93" s="26" t="n">
        <x:v>44.5</x:v>
      </x:c>
      <x:c r="B93" s="26" t="n">
        <x:f>(A93/$N$3)^2</x:f>
        <x:v>0.8819238185953491</x:v>
      </x:c>
      <x:c r="C93" s="26" t="n">
        <x:f>0-(A93/$N$4)^2</x:f>
        <x:v>-0.7930137212667736</x:v>
      </x:c>
      <x:c r="D93" s="26" t="n">
        <x:f>MIN(B93,$N$5)</x:f>
        <x:v>0.8819238185953491</x:v>
      </x:c>
      <x:c r="E93" s="26" t="n">
        <x:f>IF(A93&lt;=$N$7,MAX(C93,$N$6),MAX(C93,$N$6*($N$8-A93)/($N$8-$N$7)))</x:f>
        <x:v>-0.7930137212667736</x:v>
      </x:c>
      <x:c r="F93" s="26" t="n">
        <x:f>IF(A93&lt;=$N$7,1+$N$9*A93/$N$7,$N$10+(A93-$N$7)*($N$12-$N$10)/($N$8-$N$7))</x:f>
        <x:v>2.8146505486265943</x:v>
      </x:c>
      <x:c r="G93" s="26" t="n">
        <x:f>IF(A93&lt;=$N$7,1-$N$9*A93/$N$7,$N$11+(A93-$N$7)*($N$13-$N$11)/($N$8-$N$7))</x:f>
        <x:v>-0.814650548626594</x:v>
      </x:c>
      <x:c r="H93" s="26" t="n">
        <x:f>MIN(F93,B93)</x:f>
        <x:v>0.8819238185953491</x:v>
      </x:c>
      <x:c r="I93" s="26" t="n">
        <x:f>MAX(G93,C93)</x:f>
        <x:v>-0.7930137212667736</x:v>
      </x:c>
      <x:c r="J93" s="26" t="n">
        <x:f>MAX(D93,H93)</x:f>
        <x:v>0.8819238185953491</x:v>
      </x:c>
      <x:c r="K93" s="26" t="n">
        <x:f>MIN(E93,I93)</x:f>
        <x:v>-0.7930137212667736</x:v>
      </x:c>
      <x:c r="P93" s="26" t="n">
        <x:v>44.5</x:v>
      </x:c>
      <x:c r="Q93" s="26" t="n">
        <x:v>0.8819238185953491</x:v>
      </x:c>
      <x:c r="R93" s="26" t="n">
        <x:v>-0.7930137212667736</x:v>
      </x:c>
      <x:c r="S93" s="26" t="n">
        <x:v>0.8819238185953491</x:v>
      </x:c>
      <x:c r="T93" s="26" t="n">
        <x:v>-0.7930137212667736</x:v>
      </x:c>
      <x:c r="U93" s="26" t="n">
        <x:v>2.8146505486265943</x:v>
      </x:c>
      <x:c r="V93" s="26" t="n">
        <x:v>-0.814650548626594</x:v>
      </x:c>
    </x:row>
    <x:row r="94">
      <x:c r="A94" s="26" t="n">
        <x:v>45</x:v>
      </x:c>
      <x:c r="B94" s="26" t="n">
        <x:f>(A94/$N$3)^2</x:f>
        <x:v>0.9018536713321965</x:v>
      </x:c>
      <x:c r="C94" s="26" t="n">
        <x:f>0-(A94/$N$4)^2</x:f>
        <x:v>-0.8109343696832303</x:v>
      </x:c>
      <x:c r="D94" s="26" t="n">
        <x:f>MIN(B94,$N$5)</x:f>
        <x:v>0.9018536713321965</x:v>
      </x:c>
      <x:c r="E94" s="26" t="n">
        <x:f>IF(A94&lt;=$N$7,MAX(C94,$N$6),MAX(C94,$N$6*($N$8-A94)/($N$8-$N$7)))</x:f>
        <x:v>-0.8109343696832303</x:v>
      </x:c>
      <x:c r="F94" s="26" t="n">
        <x:f>IF(A94&lt;=$N$7,1+$N$9*A94/$N$7,$N$10+(A94-$N$7)*($N$12-$N$10)/($N$8-$N$7))</x:f>
        <x:v>2.8350398806336345</x:v>
      </x:c>
      <x:c r="G94" s="26" t="n">
        <x:f>IF(A94&lt;=$N$7,1-$N$9*A94/$N$7,$N$11+(A94-$N$7)*($N$13-$N$11)/($N$8-$N$7))</x:f>
        <x:v>-0.8350398806336345</x:v>
      </x:c>
      <x:c r="H94" s="26" t="n">
        <x:f>MIN(F94,B94)</x:f>
        <x:v>0.9018536713321965</x:v>
      </x:c>
      <x:c r="I94" s="26" t="n">
        <x:f>MAX(G94,C94)</x:f>
        <x:v>-0.8109343696832303</x:v>
      </x:c>
      <x:c r="J94" s="26" t="n">
        <x:f>MAX(D94,H94)</x:f>
        <x:v>0.9018536713321965</x:v>
      </x:c>
      <x:c r="K94" s="26" t="n">
        <x:f>MIN(E94,I94)</x:f>
        <x:v>-0.8109343696832303</x:v>
      </x:c>
      <x:c r="P94" s="26" t="n">
        <x:v>45</x:v>
      </x:c>
      <x:c r="Q94" s="26" t="n">
        <x:v>0.9018536713321965</x:v>
      </x:c>
      <x:c r="R94" s="26" t="n">
        <x:v>-0.8109343696832303</x:v>
      </x:c>
      <x:c r="S94" s="26" t="n">
        <x:v>0.9018536713321965</x:v>
      </x:c>
      <x:c r="T94" s="26" t="n">
        <x:v>-0.8109343696832303</x:v>
      </x:c>
      <x:c r="U94" s="26" t="n">
        <x:v>2.8350398806336345</x:v>
      </x:c>
      <x:c r="V94" s="26" t="n">
        <x:v>-0.8350398806336343</x:v>
      </x:c>
    </x:row>
    <x:row r="95">
      <x:c r="A95" s="26" t="n">
        <x:v>45.5</x:v>
      </x:c>
      <x:c r="B95" s="26" t="n">
        <x:f>(A95/$N$3)^2</x:f>
        <x:v>0.9220062039878911</x:v>
      </x:c>
      <x:c r="C95" s="26" t="n">
        <x:f>0-(A95/$N$4)^2</x:f>
        <x:v>-0.8290552488082507</x:v>
      </x:c>
      <x:c r="D95" s="26" t="n">
        <x:f>MIN(B95,$N$5)</x:f>
        <x:v>0.9220062039878911</x:v>
      </x:c>
      <x:c r="E95" s="26" t="n">
        <x:f>IF(A95&lt;=$N$7,MAX(C95,$N$6),MAX(C95,$N$6*($N$8-A95)/($N$8-$N$7)))</x:f>
        <x:v>-0.8290552488082507</x:v>
      </x:c>
      <x:c r="F95" s="26" t="n">
        <x:f>IF(A95&lt;=$N$7,1+$N$9*A95/$N$7,$N$10+(A95-$N$7)*($N$12-$N$10)/($N$8-$N$7))</x:f>
        <x:v>2.855429212640675</x:v>
      </x:c>
      <x:c r="G95" s="26" t="n">
        <x:f>IF(A95&lt;=$N$7,1-$N$9*A95/$N$7,$N$11+(A95-$N$7)*($N$13-$N$11)/($N$8-$N$7))</x:f>
        <x:v>-0.8554292126406751</x:v>
      </x:c>
      <x:c r="H95" s="26" t="n">
        <x:f>MIN(F95,B95)</x:f>
        <x:v>0.9220062039878911</x:v>
      </x:c>
      <x:c r="I95" s="26" t="n">
        <x:f>MAX(G95,C95)</x:f>
        <x:v>-0.8290552488082507</x:v>
      </x:c>
      <x:c r="J95" s="26" t="n">
        <x:f>MAX(D95,H95)</x:f>
        <x:v>0.9220062039878911</x:v>
      </x:c>
      <x:c r="K95" s="26" t="n">
        <x:f>MIN(E95,I95)</x:f>
        <x:v>-0.8290552488082507</x:v>
      </x:c>
      <x:c r="P95" s="26" t="n">
        <x:v>45.5</x:v>
      </x:c>
      <x:c r="Q95" s="26" t="n">
        <x:v>0.9220062039878911</x:v>
      </x:c>
      <x:c r="R95" s="26" t="n">
        <x:v>-0.8290552488082507</x:v>
      </x:c>
      <x:c r="S95" s="26" t="n">
        <x:v>0.9220062039878911</x:v>
      </x:c>
      <x:c r="T95" s="26" t="n">
        <x:v>-0.8290552488082507</x:v>
      </x:c>
      <x:c r="U95" s="26" t="n">
        <x:v>2.855429212640675</x:v>
      </x:c>
      <x:c r="V95" s="26" t="n">
        <x:v>-0.8554292126406748</x:v>
      </x:c>
    </x:row>
    <x:row r="96">
      <x:c r="A96" s="26" t="n">
        <x:v>46</x:v>
      </x:c>
      <x:c r="B96" s="26" t="n">
        <x:f>(A96/$N$3)^2</x:f>
        <x:v>0.9423814165624335</x:v>
      </x:c>
      <x:c r="C96" s="26" t="n">
        <x:f>0-(A96/$N$4)^2</x:f>
        <x:v>-0.8473763586418347</x:v>
      </x:c>
      <x:c r="D96" s="26" t="n">
        <x:f>MIN(B96,$N$5)</x:f>
        <x:v>0.9423814165624335</x:v>
      </x:c>
      <x:c r="E96" s="26" t="n">
        <x:f>IF(A96&lt;=$N$7,MAX(C96,$N$6),MAX(C96,$N$6*($N$8-A96)/($N$8-$N$7)))</x:f>
        <x:v>-0.8473763586418347</x:v>
      </x:c>
      <x:c r="F96" s="26" t="n">
        <x:f>IF(A96&lt;=$N$7,1+$N$9*A96/$N$7,$N$10+(A96-$N$7)*($N$12-$N$10)/($N$8-$N$7))</x:f>
        <x:v>2.875818544647715</x:v>
      </x:c>
      <x:c r="G96" s="26" t="n">
        <x:f>IF(A96&lt;=$N$7,1-$N$9*A96/$N$7,$N$11+(A96-$N$7)*($N$13-$N$11)/($N$8-$N$7))</x:f>
        <x:v>-0.8758185446477154</x:v>
      </x:c>
      <x:c r="H96" s="26" t="n">
        <x:f>MIN(F96,B96)</x:f>
        <x:v>0.9423814165624335</x:v>
      </x:c>
      <x:c r="I96" s="26" t="n">
        <x:f>MAX(G96,C96)</x:f>
        <x:v>-0.8473763586418347</x:v>
      </x:c>
      <x:c r="J96" s="26" t="n">
        <x:f>MAX(D96,H96)</x:f>
        <x:v>0.9423814165624335</x:v>
      </x:c>
      <x:c r="K96" s="26" t="n">
        <x:f>MIN(E96,I96)</x:f>
        <x:v>-0.8473763586418347</x:v>
      </x:c>
      <x:c r="P96" s="26" t="n">
        <x:v>46</x:v>
      </x:c>
      <x:c r="Q96" s="26" t="n">
        <x:v>0.9423814165624335</x:v>
      </x:c>
      <x:c r="R96" s="26" t="n">
        <x:v>-0.8473763586418347</x:v>
      </x:c>
      <x:c r="S96" s="26" t="n">
        <x:v>0.9423814165624335</x:v>
      </x:c>
      <x:c r="T96" s="26" t="n">
        <x:v>-0.8473763586418347</x:v>
      </x:c>
      <x:c r="U96" s="26" t="n">
        <x:v>2.875818544647715</x:v>
      </x:c>
      <x:c r="V96" s="26" t="n">
        <x:v>-0.8758185446477151</x:v>
      </x:c>
    </x:row>
    <x:row r="97">
      <x:c r="A97" s="26" t="n">
        <x:v>46.5</x:v>
      </x:c>
      <x:c r="B97" s="26" t="n">
        <x:f>(A97/$N$3)^2</x:f>
        <x:v>0.9629793090558231</x:v>
      </x:c>
      <x:c r="C97" s="26" t="n">
        <x:f>0-(A97/$N$4)^2</x:f>
        <x:v>-0.8658976991839825</x:v>
      </x:c>
      <x:c r="D97" s="26" t="n">
        <x:f>MIN(B97,$N$5)</x:f>
        <x:v>0.9629793090558231</x:v>
      </x:c>
      <x:c r="E97" s="26" t="n">
        <x:f>IF(A97&lt;=$N$7,MAX(C97,$N$6),MAX(C97,$N$6*($N$8-A97)/($N$8-$N$7)))</x:f>
        <x:v>-0.8658976991839825</x:v>
      </x:c>
      <x:c r="F97" s="26" t="n">
        <x:f>IF(A97&lt;=$N$7,1+$N$9*A97/$N$7,$N$10+(A97-$N$7)*($N$12-$N$10)/($N$8-$N$7))</x:f>
        <x:v>2.8962078766547554</x:v>
      </x:c>
      <x:c r="G97" s="26" t="n">
        <x:f>IF(A97&lt;=$N$7,1-$N$9*A97/$N$7,$N$11+(A97-$N$7)*($N$13-$N$11)/($N$8-$N$7))</x:f>
        <x:v>-0.8962078766547557</x:v>
      </x:c>
      <x:c r="H97" s="26" t="n">
        <x:f>MIN(F97,B97)</x:f>
        <x:v>0.9629793090558231</x:v>
      </x:c>
      <x:c r="I97" s="26" t="n">
        <x:f>MAX(G97,C97)</x:f>
        <x:v>-0.8658976991839825</x:v>
      </x:c>
      <x:c r="J97" s="26" t="n">
        <x:f>MAX(D97,H97)</x:f>
        <x:v>0.9629793090558231</x:v>
      </x:c>
      <x:c r="K97" s="26" t="n">
        <x:f>MIN(E97,I97)</x:f>
        <x:v>-0.8658976991839825</x:v>
      </x:c>
      <x:c r="P97" s="26" t="n">
        <x:v>46.5</x:v>
      </x:c>
      <x:c r="Q97" s="26" t="n">
        <x:v>0.9629793090558231</x:v>
      </x:c>
      <x:c r="R97" s="26" t="n">
        <x:v>-0.8658976991839825</x:v>
      </x:c>
      <x:c r="S97" s="26" t="n">
        <x:v>0.9629793090558231</x:v>
      </x:c>
      <x:c r="T97" s="26" t="n">
        <x:v>-0.8658976991839825</x:v>
      </x:c>
      <x:c r="U97" s="26" t="n">
        <x:v>2.8962078766547554</x:v>
      </x:c>
      <x:c r="V97" s="26" t="n">
        <x:v>-0.8962078766547554</x:v>
      </x:c>
    </x:row>
    <x:row r="98">
      <x:c r="A98" s="26" t="n">
        <x:v>47</x:v>
      </x:c>
      <x:c r="B98" s="26" t="n">
        <x:f>(A98/$N$3)^2</x:f>
        <x:v>0.9837998814680603</x:v>
      </x:c>
      <x:c r="C98" s="26" t="n">
        <x:f>0-(A98/$N$4)^2</x:f>
        <x:v>-0.8846192704346942</x:v>
      </x:c>
      <x:c r="D98" s="26" t="n">
        <x:f>MIN(B98,$N$5)</x:f>
        <x:v>0.9837998814680603</x:v>
      </x:c>
      <x:c r="E98" s="26" t="n">
        <x:f>IF(A98&lt;=$N$7,MAX(C98,$N$6),MAX(C98,$N$6*($N$8-A98)/($N$8-$N$7)))</x:f>
        <x:v>-0.8846192704346942</x:v>
      </x:c>
      <x:c r="F98" s="26" t="n">
        <x:f>IF(A98&lt;=$N$7,1+$N$9*A98/$N$7,$N$10+(A98-$N$7)*($N$12-$N$10)/($N$8-$N$7))</x:f>
        <x:v>2.916597208661796</x:v>
      </x:c>
      <x:c r="G98" s="26" t="n">
        <x:f>IF(A98&lt;=$N$7,1-$N$9*A98/$N$7,$N$11+(A98-$N$7)*($N$13-$N$11)/($N$8-$N$7))</x:f>
        <x:v>-0.9165972086617962</x:v>
      </x:c>
      <x:c r="H98" s="26" t="n">
        <x:f>MIN(F98,B98)</x:f>
        <x:v>0.9837998814680603</x:v>
      </x:c>
      <x:c r="I98" s="26" t="n">
        <x:f>MAX(G98,C98)</x:f>
        <x:v>-0.8846192704346942</x:v>
      </x:c>
      <x:c r="J98" s="26" t="n">
        <x:f>MAX(D98,H98)</x:f>
        <x:v>0.9837998814680603</x:v>
      </x:c>
      <x:c r="K98" s="26" t="n">
        <x:f>MIN(E98,I98)</x:f>
        <x:v>-0.8846192704346942</x:v>
      </x:c>
      <x:c r="P98" s="26" t="n">
        <x:v>47</x:v>
      </x:c>
      <x:c r="Q98" s="26" t="n">
        <x:v>0.9837998814680603</x:v>
      </x:c>
      <x:c r="R98" s="26" t="n">
        <x:v>-0.8846192704346942</x:v>
      </x:c>
      <x:c r="S98" s="26" t="n">
        <x:v>0.9837998814680603</x:v>
      </x:c>
      <x:c r="T98" s="26" t="n">
        <x:v>-0.8846192704346942</x:v>
      </x:c>
      <x:c r="U98" s="26" t="n">
        <x:v>2.9165972086617957</x:v>
      </x:c>
      <x:c r="V98" s="26" t="n">
        <x:v>-0.916597208661796</x:v>
      </x:c>
    </x:row>
    <x:row r="99">
      <x:c r="A99" s="26" t="n">
        <x:v>47.5</x:v>
      </x:c>
      <x:c r="B99" s="26" t="n">
        <x:f>(A99/$N$3)^2</x:f>
        <x:v>1.0048431337991448</x:v>
      </x:c>
      <x:c r="C99" s="26" t="n">
        <x:f>0-(A99/$N$4)^2</x:f>
        <x:v>-0.9035410723939695</x:v>
      </x:c>
      <x:c r="D99" s="26" t="n">
        <x:f>MIN(B99,$N$5)</x:f>
        <x:v>1.0048431337991448</x:v>
      </x:c>
      <x:c r="E99" s="26" t="n">
        <x:f>IF(A99&lt;=$N$7,MAX(C99,$N$6),MAX(C99,$N$6*($N$8-A99)/($N$8-$N$7)))</x:f>
        <x:v>-0.9035410723939695</x:v>
      </x:c>
      <x:c r="F99" s="26" t="n">
        <x:f>IF(A99&lt;=$N$7,1+$N$9*A99/$N$7,$N$10+(A99-$N$7)*($N$12-$N$10)/($N$8-$N$7))</x:f>
        <x:v>2.9369865406688365</x:v>
      </x:c>
      <x:c r="G99" s="26" t="n">
        <x:f>IF(A99&lt;=$N$7,1-$N$9*A99/$N$7,$N$11+(A99-$N$7)*($N$13-$N$11)/($N$8-$N$7))</x:f>
        <x:v>-0.9369865406688365</x:v>
      </x:c>
      <x:c r="H99" s="26" t="n">
        <x:f>MIN(F99,B99)</x:f>
        <x:v>1.0048431337991448</x:v>
      </x:c>
      <x:c r="I99" s="26" t="n">
        <x:f>MAX(G99,C99)</x:f>
        <x:v>-0.9035410723939695</x:v>
      </x:c>
      <x:c r="J99" s="26" t="n">
        <x:f>MAX(D99,H99)</x:f>
        <x:v>1.0048431337991448</x:v>
      </x:c>
      <x:c r="K99" s="26" t="n">
        <x:f>MIN(E99,I99)</x:f>
        <x:v>-0.9035410723939695</x:v>
      </x:c>
      <x:c r="P99" s="26" t="n">
        <x:v>47.5</x:v>
      </x:c>
      <x:c r="Q99" s="26" t="n">
        <x:v>1.0048431337991448</x:v>
      </x:c>
      <x:c r="R99" s="26" t="n">
        <x:v>-0.9035410723939695</x:v>
      </x:c>
      <x:c r="S99" s="26" t="n">
        <x:v>1.0048431337991448</x:v>
      </x:c>
      <x:c r="T99" s="26" t="n">
        <x:v>-0.9035410723939695</x:v>
      </x:c>
      <x:c r="U99" s="26" t="n">
        <x:v>2.936986540668836</x:v>
      </x:c>
      <x:c r="V99" s="26" t="n">
        <x:v>-0.9369865406688362</x:v>
      </x:c>
    </x:row>
    <x:row r="100">
      <x:c r="A100" s="26" t="n">
        <x:v>48</x:v>
      </x:c>
      <x:c r="B100" s="26" t="n">
        <x:f>(A100/$N$3)^2</x:f>
        <x:v>1.026109066049077</x:v>
      </x:c>
      <x:c r="C100" s="26" t="n">
        <x:f>0-(A100/$N$4)^2</x:f>
        <x:v>-0.9226631050618087</x:v>
      </x:c>
      <x:c r="D100" s="26" t="n">
        <x:f>MIN(B100,$N$5)</x:f>
        <x:v>1.026109066049077</x:v>
      </x:c>
      <x:c r="E100" s="26" t="n">
        <x:f>IF(A100&lt;=$N$7,MAX(C100,$N$6),MAX(C100,$N$6*($N$8-A100)/($N$8-$N$7)))</x:f>
        <x:v>-0.9226631050618087</x:v>
      </x:c>
      <x:c r="F100" s="26" t="n">
        <x:f>IF(A100&lt;=$N$7,1+$N$9*A100/$N$7,$N$10+(A100-$N$7)*($N$12-$N$10)/($N$8-$N$7))</x:f>
        <x:v>2.9573758726758763</x:v>
      </x:c>
      <x:c r="G100" s="26" t="n">
        <x:f>IF(A100&lt;=$N$7,1-$N$9*A100/$N$7,$N$11+(A100-$N$7)*($N$13-$N$11)/($N$8-$N$7))</x:f>
        <x:v>-0.9573758726758765</x:v>
      </x:c>
      <x:c r="H100" s="26" t="n">
        <x:f>MIN(F100,B100)</x:f>
        <x:v>1.026109066049077</x:v>
      </x:c>
      <x:c r="I100" s="26" t="n">
        <x:f>MAX(G100,C100)</x:f>
        <x:v>-0.9226631050618087</x:v>
      </x:c>
      <x:c r="J100" s="26" t="n">
        <x:f>MAX(D100,H100)</x:f>
        <x:v>1.026109066049077</x:v>
      </x:c>
      <x:c r="K100" s="26" t="n">
        <x:f>MIN(E100,I100)</x:f>
        <x:v>-0.9226631050618087</x:v>
      </x:c>
      <x:c r="P100" s="26" t="n">
        <x:v>48</x:v>
      </x:c>
      <x:c r="Q100" s="26" t="n">
        <x:v>1.026109066049077</x:v>
      </x:c>
      <x:c r="R100" s="26" t="n">
        <x:v>-0.9226631050618087</x:v>
      </x:c>
      <x:c r="S100" s="26" t="n">
        <x:v>1.026109066049077</x:v>
      </x:c>
      <x:c r="T100" s="26" t="n">
        <x:v>-0.9226631050618087</x:v>
      </x:c>
      <x:c r="U100" s="26" t="n">
        <x:v>2.9573758726758768</x:v>
      </x:c>
      <x:c r="V100" s="26" t="n">
        <x:v>-0.9573758726758768</x:v>
      </x:c>
    </x:row>
    <x:row r="101">
      <x:c r="A101" s="26" t="n">
        <x:v>48.5</x:v>
      </x:c>
      <x:c r="B101" s="26" t="n">
        <x:f>(A101/$N$3)^2</x:f>
        <x:v>1.0475976782178567</x:v>
      </x:c>
      <x:c r="C101" s="26" t="n">
        <x:f>0-(A101/$N$4)^2</x:f>
        <x:v>-0.9419853684382117</x:v>
      </x:c>
      <x:c r="D101" s="26" t="n">
        <x:f>MIN(B101,$N$5)</x:f>
        <x:v>1.0475976782178567</x:v>
      </x:c>
      <x:c r="E101" s="26" t="n">
        <x:f>IF(A101&lt;=$N$7,MAX(C101,$N$6),MAX(C101,$N$6*($N$8-A101)/($N$8-$N$7)))</x:f>
        <x:v>-0.9419853684382117</x:v>
      </x:c>
      <x:c r="F101" s="26" t="n">
        <x:f>IF(A101&lt;=$N$7,1+$N$9*A101/$N$7,$N$10+(A101-$N$7)*($N$12-$N$10)/($N$8-$N$7))</x:f>
        <x:v>2.9777652046829166</x:v>
      </x:c>
      <x:c r="G101" s="26" t="n">
        <x:f>IF(A101&lt;=$N$7,1-$N$9*A101/$N$7,$N$11+(A101-$N$7)*($N$13-$N$11)/($N$8-$N$7))</x:f>
        <x:v>-0.9777652046829168</x:v>
      </x:c>
      <x:c r="H101" s="26" t="n">
        <x:f>MIN(F101,B101)</x:f>
        <x:v>1.0475976782178567</x:v>
      </x:c>
      <x:c r="I101" s="26" t="n">
        <x:f>MAX(G101,C101)</x:f>
        <x:v>-0.9419853684382117</x:v>
      </x:c>
      <x:c r="J101" s="26" t="n">
        <x:f>MAX(D101,H101)</x:f>
        <x:v>1.0475976782178567</x:v>
      </x:c>
      <x:c r="K101" s="26" t="n">
        <x:f>MIN(E101,I101)</x:f>
        <x:v>-0.9419853684382117</x:v>
      </x:c>
      <x:c r="P101" s="26" t="n">
        <x:v>48.5</x:v>
      </x:c>
      <x:c r="Q101" s="26" t="n">
        <x:v>1.0475976782178567</x:v>
      </x:c>
      <x:c r="R101" s="26" t="n">
        <x:v>-0.9419853684382117</x:v>
      </x:c>
      <x:c r="S101" s="26" t="n">
        <x:v>1.0475976782178567</x:v>
      </x:c>
      <x:c r="T101" s="26" t="n">
        <x:v>-0.9419853684382117</x:v>
      </x:c>
      <x:c r="U101" s="26" t="n">
        <x:v>2.977765204682917</x:v>
      </x:c>
      <x:c r="V101" s="26" t="n">
        <x:v>-0.977765204682917</x:v>
      </x:c>
    </x:row>
    <x:row r="102">
      <x:c r="A102" s="26" t="n">
        <x:v>49</x:v>
      </x:c>
      <x:c r="B102" s="26" t="n">
        <x:f>(A102/$N$3)^2</x:f>
        <x:v>1.0693089703054832</x:v>
      </x:c>
      <x:c r="C102" s="26" t="n">
        <x:f>0-(A102/$N$4)^2</x:f>
        <x:v>-0.9615078625231782</x:v>
      </x:c>
      <x:c r="D102" s="26" t="n">
        <x:f>MIN(B102,$N$5)</x:f>
        <x:v>1.0693089703054832</x:v>
      </x:c>
      <x:c r="E102" s="26" t="n">
        <x:f>IF(A102&lt;=$N$7,MAX(C102,$N$6),MAX(C102,$N$6*($N$8-A102)/($N$8-$N$7)))</x:f>
        <x:v>-0.9615078625231782</x:v>
      </x:c>
      <x:c r="F102" s="26" t="n">
        <x:f>IF(A102&lt;=$N$7,1+$N$9*A102/$N$7,$N$10+(A102-$N$7)*($N$12-$N$10)/($N$8-$N$7))</x:f>
        <x:v>2.9981545366899574</x:v>
      </x:c>
      <x:c r="G102" s="26" t="n">
        <x:f>IF(A102&lt;=$N$7,1-$N$9*A102/$N$7,$N$11+(A102-$N$7)*($N$13-$N$11)/($N$8-$N$7))</x:f>
        <x:v>-0.9981545366899574</x:v>
      </x:c>
      <x:c r="H102" s="26" t="n">
        <x:f>MIN(F102,B102)</x:f>
        <x:v>1.0693089703054832</x:v>
      </x:c>
      <x:c r="I102" s="26" t="n">
        <x:f>MAX(G102,C102)</x:f>
        <x:v>-0.9615078625231782</x:v>
      </x:c>
      <x:c r="J102" s="26" t="n">
        <x:f>MAX(D102,H102)</x:f>
        <x:v>1.0693089703054832</x:v>
      </x:c>
      <x:c r="K102" s="26" t="n">
        <x:f>MIN(E102,I102)</x:f>
        <x:v>-0.9615078625231782</x:v>
      </x:c>
      <x:c r="P102" s="26" t="n">
        <x:v>49</x:v>
      </x:c>
      <x:c r="Q102" s="26" t="n">
        <x:v>1.0693089703054832</x:v>
      </x:c>
      <x:c r="R102" s="26" t="n">
        <x:v>-0.9615078625231782</x:v>
      </x:c>
      <x:c r="S102" s="26" t="n">
        <x:v>1.0693089703054832</x:v>
      </x:c>
      <x:c r="T102" s="26" t="n">
        <x:v>-0.9615078625231782</x:v>
      </x:c>
      <x:c r="U102" s="26" t="n">
        <x:v>2.9981545366899574</x:v>
      </x:c>
      <x:c r="V102" s="26" t="n">
        <x:v>-0.9981545366899574</x:v>
      </x:c>
    </x:row>
    <x:row r="103">
      <x:c r="A103" s="26" t="n">
        <x:v>49.5</x:v>
      </x:c>
      <x:c r="B103" s="26" t="n">
        <x:f>(A103/$N$3)^2</x:f>
        <x:v>1.0912429423119578</x:v>
      </x:c>
      <x:c r="C103" s="26" t="n">
        <x:f>0-(A103/$N$4)^2</x:f>
        <x:v>-0.9812305873167086</x:v>
      </x:c>
      <x:c r="D103" s="26" t="n">
        <x:f>MIN(B103,$N$5)</x:f>
        <x:v>1.0912429423119578</x:v>
      </x:c>
      <x:c r="E103" s="26" t="n">
        <x:f>IF(A103&lt;=$N$7,MAX(C103,$N$6),MAX(C103,$N$6*($N$8-A103)/($N$8-$N$7)))</x:f>
        <x:v>-0.9812305873167086</x:v>
      </x:c>
      <x:c r="F103" s="26" t="n">
        <x:f>IF(A103&lt;=$N$7,1+$N$9*A103/$N$7,$N$10+(A103-$N$7)*($N$12-$N$10)/($N$8-$N$7))</x:f>
        <x:v>3.0185438686969976</x:v>
      </x:c>
      <x:c r="G103" s="26" t="n">
        <x:f>IF(A103&lt;=$N$7,1-$N$9*A103/$N$7,$N$11+(A103-$N$7)*($N$13-$N$11)/($N$8-$N$7))</x:f>
        <x:v>-1.0185438686969976</x:v>
      </x:c>
      <x:c r="H103" s="26" t="n">
        <x:f>MIN(F103,B103)</x:f>
        <x:v>1.0912429423119578</x:v>
      </x:c>
      <x:c r="I103" s="26" t="n">
        <x:f>MAX(G103,C103)</x:f>
        <x:v>-0.9812305873167086</x:v>
      </x:c>
      <x:c r="J103" s="26" t="n">
        <x:f>MAX(D103,H103)</x:f>
        <x:v>1.0912429423119578</x:v>
      </x:c>
      <x:c r="K103" s="26" t="n">
        <x:f>MIN(E103,I103)</x:f>
        <x:v>-0.9812305873167086</x:v>
      </x:c>
      <x:c r="P103" s="26" t="n">
        <x:v>49.5</x:v>
      </x:c>
      <x:c r="Q103" s="26" t="n">
        <x:v>1.0912429423119578</x:v>
      </x:c>
      <x:c r="R103" s="26" t="n">
        <x:v>-0.9812305873167086</x:v>
      </x:c>
      <x:c r="S103" s="26" t="n">
        <x:v>1.0912429423119578</x:v>
      </x:c>
      <x:c r="T103" s="26" t="n">
        <x:v>-0.9812305873167086</x:v>
      </x:c>
      <x:c r="U103" s="26" t="n">
        <x:v>3.0185438686969976</x:v>
      </x:c>
      <x:c r="V103" s="26" t="n">
        <x:v>-1.0185438686969976</x:v>
      </x:c>
    </x:row>
    <x:row r="104">
      <x:c r="A104" s="26" t="n">
        <x:v>50</x:v>
      </x:c>
      <x:c r="B104" s="26" t="n">
        <x:f>(A104/$N$3)^2</x:f>
        <x:v>1.1133995942372796</x:v>
      </x:c>
      <x:c r="C104" s="26" t="n">
        <x:f>0-(A104/$N$4)^2</x:f>
        <x:v>-1.0011535428188028</x:v>
      </x:c>
      <x:c r="D104" s="26" t="n">
        <x:f>MIN(B104,$N$5)</x:f>
        <x:v>1.1133995942372796</x:v>
      </x:c>
      <x:c r="E104" s="26" t="n">
        <x:f>IF(A104&lt;=$N$7,MAX(C104,$N$6),MAX(C104,$N$6*($N$8-A104)/($N$8-$N$7)))</x:f>
        <x:v>-1.0011535428188028</x:v>
      </x:c>
      <x:c r="F104" s="26" t="n">
        <x:f>IF(A104&lt;=$N$7,1+$N$9*A104/$N$7,$N$10+(A104-$N$7)*($N$12-$N$10)/($N$8-$N$7))</x:f>
        <x:v>3.038933200704038</x:v>
      </x:c>
      <x:c r="G104" s="26" t="n">
        <x:f>IF(A104&lt;=$N$7,1-$N$9*A104/$N$7,$N$11+(A104-$N$7)*($N$13-$N$11)/($N$8-$N$7))</x:f>
        <x:v>-1.038933200704038</x:v>
      </x:c>
      <x:c r="H104" s="26" t="n">
        <x:f>MIN(F104,B104)</x:f>
        <x:v>1.1133995942372796</x:v>
      </x:c>
      <x:c r="I104" s="26" t="n">
        <x:f>MAX(G104,C104)</x:f>
        <x:v>-1.0011535428188028</x:v>
      </x:c>
      <x:c r="J104" s="26" t="n">
        <x:f>MAX(D104,H104)</x:f>
        <x:v>1.1133995942372796</x:v>
      </x:c>
      <x:c r="K104" s="26" t="n">
        <x:f>MIN(E104,I104)</x:f>
        <x:v>-1.0011535428188028</x:v>
      </x:c>
      <x:c r="P104" s="26" t="n">
        <x:v>50</x:v>
      </x:c>
      <x:c r="Q104" s="26" t="n">
        <x:v>1.1133995942372796</x:v>
      </x:c>
      <x:c r="R104" s="26" t="n">
        <x:v>-1.0011535428188028</x:v>
      </x:c>
      <x:c r="S104" s="26" t="n">
        <x:v>1.1133995942372796</x:v>
      </x:c>
      <x:c r="T104" s="26" t="n">
        <x:v>-1.0011535428188028</x:v>
      </x:c>
      <x:c r="U104" s="26" t="n">
        <x:v>3.0389332007040384</x:v>
      </x:c>
      <x:c r="V104" s="26" t="n">
        <x:v>-1.0389332007040384</x:v>
      </x:c>
    </x:row>
    <x:row r="105">
      <x:c r="A105" s="26" t="n">
        <x:v>50.5</x:v>
      </x:c>
      <x:c r="B105" s="26" t="n">
        <x:f>(A105/$N$3)^2</x:f>
        <x:v>1.1357789260814488</x:v>
      </x:c>
      <x:c r="C105" s="26" t="n">
        <x:f>0-(A105/$N$4)^2</x:f>
        <x:v>-1.0212767290294609</x:v>
      </x:c>
      <x:c r="D105" s="26" t="n">
        <x:f>MIN(B105,$N$5)</x:f>
        <x:v>1.1357789260814488</x:v>
      </x:c>
      <x:c r="E105" s="26" t="n">
        <x:f>IF(A105&lt;=$N$7,MAX(C105,$N$6),MAX(C105,$N$6*($N$8-A105)/($N$8-$N$7)))</x:f>
        <x:v>-1.0212767290294609</x:v>
      </x:c>
      <x:c r="F105" s="26" t="n">
        <x:f>IF(A105&lt;=$N$7,1+$N$9*A105/$N$7,$N$10+(A105-$N$7)*($N$12-$N$10)/($N$8-$N$7))</x:f>
        <x:v>3.0593225327110782</x:v>
      </x:c>
      <x:c r="G105" s="26" t="n">
        <x:f>IF(A105&lt;=$N$7,1-$N$9*A105/$N$7,$N$11+(A105-$N$7)*($N$13-$N$11)/($N$8-$N$7))</x:f>
        <x:v>-1.0593225327110782</x:v>
      </x:c>
      <x:c r="H105" s="26" t="n">
        <x:f>MIN(F105,B105)</x:f>
        <x:v>1.1357789260814488</x:v>
      </x:c>
      <x:c r="I105" s="26" t="n">
        <x:f>MAX(G105,C105)</x:f>
        <x:v>-1.0212767290294609</x:v>
      </x:c>
      <x:c r="J105" s="26" t="n">
        <x:f>MAX(D105,H105)</x:f>
        <x:v>1.1357789260814488</x:v>
      </x:c>
      <x:c r="K105" s="26" t="n">
        <x:f>MIN(E105,I105)</x:f>
        <x:v>-1.0212767290294609</x:v>
      </x:c>
      <x:c r="P105" s="26" t="n">
        <x:v>50.5</x:v>
      </x:c>
      <x:c r="Q105" s="26" t="n">
        <x:v>1.1357789260814488</x:v>
      </x:c>
      <x:c r="R105" s="26" t="n">
        <x:v>-1.0212767290294609</x:v>
      </x:c>
      <x:c r="S105" s="26" t="n">
        <x:v>1.1357789260814488</x:v>
      </x:c>
      <x:c r="T105" s="26" t="n">
        <x:v>-1.0212767290294609</x:v>
      </x:c>
      <x:c r="U105" s="26" t="n">
        <x:v>3.0593225327110787</x:v>
      </x:c>
      <x:c r="V105" s="26" t="n">
        <x:v>-1.0593225327110787</x:v>
      </x:c>
    </x:row>
    <x:row r="106">
      <x:c r="A106" s="26" t="n">
        <x:v>51</x:v>
      </x:c>
      <x:c r="B106" s="26" t="n">
        <x:f>(A106/$N$3)^2</x:f>
        <x:v>1.1583809378444656</x:v>
      </x:c>
      <x:c r="C106" s="26" t="n">
        <x:f>0-(A106/$N$4)^2</x:f>
        <x:v>-1.0416001459486826</x:v>
      </x:c>
      <x:c r="D106" s="26" t="n">
        <x:f>MIN(B106,$N$5)</x:f>
        <x:v>1.1583809378444656</x:v>
      </x:c>
      <x:c r="E106" s="26" t="n">
        <x:f>IF(A106&lt;=$N$7,MAX(C106,$N$6),MAX(C106,$N$6*($N$8-A106)/($N$8-$N$7)))</x:f>
        <x:v>-1.0416001459486826</x:v>
      </x:c>
      <x:c r="F106" s="26" t="n">
        <x:f>IF(A106&lt;=$N$7,1+$N$9*A106/$N$7,$N$10+(A106-$N$7)*($N$12-$N$10)/($N$8-$N$7))</x:f>
        <x:v>3.079711864718119</x:v>
      </x:c>
      <x:c r="G106" s="26" t="n">
        <x:f>IF(A106&lt;=$N$7,1-$N$9*A106/$N$7,$N$11+(A106-$N$7)*($N$13-$N$11)/($N$8-$N$7))</x:f>
        <x:v>-1.079711864718119</x:v>
      </x:c>
      <x:c r="H106" s="26" t="n">
        <x:f>MIN(F106,B106)</x:f>
        <x:v>1.1583809378444656</x:v>
      </x:c>
      <x:c r="I106" s="26" t="n">
        <x:f>MAX(G106,C106)</x:f>
        <x:v>-1.0416001459486826</x:v>
      </x:c>
      <x:c r="J106" s="26" t="n">
        <x:f>MAX(D106,H106)</x:f>
        <x:v>1.1583809378444656</x:v>
      </x:c>
      <x:c r="K106" s="26" t="n">
        <x:f>MIN(E106,I106)</x:f>
        <x:v>-1.0416001459486826</x:v>
      </x:c>
      <x:c r="P106" s="26" t="n">
        <x:v>51</x:v>
      </x:c>
      <x:c r="Q106" s="26" t="n">
        <x:v>1.1583809378444656</x:v>
      </x:c>
      <x:c r="R106" s="26" t="n">
        <x:v>-1.0416001459486826</x:v>
      </x:c>
      <x:c r="S106" s="26" t="n">
        <x:v>1.1583809378444656</x:v>
      </x:c>
      <x:c r="T106" s="26" t="n">
        <x:v>-1.0416001459486826</x:v>
      </x:c>
      <x:c r="U106" s="26" t="n">
        <x:v>3.079711864718119</x:v>
      </x:c>
      <x:c r="V106" s="26" t="n">
        <x:v>-1.079711864718119</x:v>
      </x:c>
    </x:row>
    <x:row r="107">
      <x:c r="A107" s="26" t="n">
        <x:v>51.5</x:v>
      </x:c>
      <x:c r="B107" s="26" t="n">
        <x:f>(A107/$N$3)^2</x:f>
        <x:v>1.18120562952633</x:v>
      </x:c>
      <x:c r="C107" s="26" t="n">
        <x:f>0-(A107/$N$4)^2</x:f>
        <x:v>-1.0621237935764678</x:v>
      </x:c>
      <x:c r="D107" s="26" t="n">
        <x:f>MIN(B107,$N$5)</x:f>
        <x:v>1.18120562952633</x:v>
      </x:c>
      <x:c r="E107" s="26" t="n">
        <x:f>IF(A107&lt;=$N$7,MAX(C107,$N$6),MAX(C107,$N$6*($N$8-A107)/($N$8-$N$7)))</x:f>
        <x:v>-1.0621237935764678</x:v>
      </x:c>
      <x:c r="F107" s="26" t="n">
        <x:f>IF(A107&lt;=$N$7,1+$N$9*A107/$N$7,$N$10+(A107-$N$7)*($N$12-$N$10)/($N$8-$N$7))</x:f>
        <x:v>3.1001011967251593</x:v>
      </x:c>
      <x:c r="G107" s="26" t="n">
        <x:f>IF(A107&lt;=$N$7,1-$N$9*A107/$N$7,$N$11+(A107-$N$7)*($N$13-$N$11)/($N$8-$N$7))</x:f>
        <x:v>-1.1001011967251593</x:v>
      </x:c>
      <x:c r="H107" s="26" t="n">
        <x:f>MIN(F107,B107)</x:f>
        <x:v>1.18120562952633</x:v>
      </x:c>
      <x:c r="I107" s="26" t="n">
        <x:f>MAX(G107,C107)</x:f>
        <x:v>-1.0621237935764678</x:v>
      </x:c>
      <x:c r="J107" s="26" t="n">
        <x:f>MAX(D107,H107)</x:f>
        <x:v>1.18120562952633</x:v>
      </x:c>
      <x:c r="K107" s="26" t="n">
        <x:f>MIN(E107,I107)</x:f>
        <x:v>-1.0621237935764678</x:v>
      </x:c>
      <x:c r="P107" s="26" t="n">
        <x:v>51.5</x:v>
      </x:c>
      <x:c r="Q107" s="26" t="n">
        <x:v>1.18120562952633</x:v>
      </x:c>
      <x:c r="R107" s="26" t="n">
        <x:v>-1.0621237935764678</x:v>
      </x:c>
      <x:c r="S107" s="26" t="n">
        <x:v>1.18120562952633</x:v>
      </x:c>
      <x:c r="T107" s="26" t="n">
        <x:v>-1.0621237935764678</x:v>
      </x:c>
      <x:c r="U107" s="26" t="n">
        <x:v>3.1001011967251593</x:v>
      </x:c>
      <x:c r="V107" s="26" t="n">
        <x:v>-1.1001011967251593</x:v>
      </x:c>
    </x:row>
    <x:row r="108">
      <x:c r="A108" s="26" t="n">
        <x:v>52</x:v>
      </x:c>
      <x:c r="B108" s="26" t="n">
        <x:f>(A108/$N$3)^2</x:f>
        <x:v>1.2042530011270418</x:v>
      </x:c>
      <x:c r="C108" s="26" t="n">
        <x:f>0-(A108/$N$4)^2</x:f>
        <x:v>-1.0828476719128173</x:v>
      </x:c>
      <x:c r="D108" s="26" t="n">
        <x:f>MIN(B108,$N$5)</x:f>
        <x:v>1.2042530011270418</x:v>
      </x:c>
      <x:c r="E108" s="26" t="n">
        <x:f>IF(A108&lt;=$N$7,MAX(C108,$N$6),MAX(C108,$N$6*($N$8-A108)/($N$8-$N$7)))</x:f>
        <x:v>-1.0828476719128173</x:v>
      </x:c>
      <x:c r="F108" s="26" t="n">
        <x:f>IF(A108&lt;=$N$7,1+$N$9*A108/$N$7,$N$10+(A108-$N$7)*($N$12-$N$10)/($N$8-$N$7))</x:f>
        <x:v>3.1204905287321996</x:v>
      </x:c>
      <x:c r="G108" s="26" t="n">
        <x:f>IF(A108&lt;=$N$7,1-$N$9*A108/$N$7,$N$11+(A108-$N$7)*($N$13-$N$11)/($N$8-$N$7))</x:f>
        <x:v>-1.1204905287321996</x:v>
      </x:c>
      <x:c r="H108" s="26" t="n">
        <x:f>MIN(F108,B108)</x:f>
        <x:v>1.2042530011270418</x:v>
      </x:c>
      <x:c r="I108" s="26" t="n">
        <x:f>MAX(G108,C108)</x:f>
        <x:v>-1.0828476719128173</x:v>
      </x:c>
      <x:c r="J108" s="26" t="n">
        <x:f>MAX(D108,H108)</x:f>
        <x:v>1.2042530011270418</x:v>
      </x:c>
      <x:c r="K108" s="26" t="n">
        <x:f>MIN(E108,I108)</x:f>
        <x:v>-1.0828476719128173</x:v>
      </x:c>
      <x:c r="P108" s="26" t="n">
        <x:v>52</x:v>
      </x:c>
      <x:c r="Q108" s="26" t="n">
        <x:v>1.2042530011270418</x:v>
      </x:c>
      <x:c r="R108" s="26" t="n">
        <x:v>-1.0828476719128173</x:v>
      </x:c>
      <x:c r="S108" s="26" t="n">
        <x:v>1.2042530011270418</x:v>
      </x:c>
      <x:c r="T108" s="26" t="n">
        <x:v>-1.0828476719128173</x:v>
      </x:c>
      <x:c r="U108" s="26" t="n">
        <x:v>3.1204905287321996</x:v>
      </x:c>
      <x:c r="V108" s="26" t="n">
        <x:v>-1.1204905287321996</x:v>
      </x:c>
    </x:row>
    <x:row r="109">
      <x:c r="A109" s="26" t="n">
        <x:v>52.5</x:v>
      </x:c>
      <x:c r="B109" s="26" t="n">
        <x:f>(A109/$N$3)^2</x:f>
        <x:v>1.2275230526466006</x:v>
      </x:c>
      <x:c r="C109" s="26" t="n">
        <x:f>0-(A109/$N$4)^2</x:f>
        <x:v>-1.10377178095773</x:v>
      </x:c>
      <x:c r="D109" s="26" t="n">
        <x:f>MIN(B109,$N$5)</x:f>
        <x:v>1.2275230526466006</x:v>
      </x:c>
      <x:c r="E109" s="26" t="n">
        <x:f>IF(A109&lt;=$N$7,MAX(C109,$N$6),MAX(C109,$N$6*($N$8-A109)/($N$8-$N$7)))</x:f>
        <x:v>-1.10377178095773</x:v>
      </x:c>
      <x:c r="F109" s="26" t="n">
        <x:f>IF(A109&lt;=$N$7,1+$N$9*A109/$N$7,$N$10+(A109-$N$7)*($N$12-$N$10)/($N$8-$N$7))</x:f>
        <x:v>3.14087986073924</x:v>
      </x:c>
      <x:c r="G109" s="26" t="n">
        <x:f>IF(A109&lt;=$N$7,1-$N$9*A109/$N$7,$N$11+(A109-$N$7)*($N$13-$N$11)/($N$8-$N$7))</x:f>
        <x:v>-1.1408798607392399</x:v>
      </x:c>
      <x:c r="H109" s="26" t="n">
        <x:f>MIN(F109,B109)</x:f>
        <x:v>1.2275230526466006</x:v>
      </x:c>
      <x:c r="I109" s="26" t="n">
        <x:f>MAX(G109,C109)</x:f>
        <x:v>-1.10377178095773</x:v>
      </x:c>
      <x:c r="J109" s="26" t="n">
        <x:f>MAX(D109,H109)</x:f>
        <x:v>1.2275230526466006</x:v>
      </x:c>
      <x:c r="K109" s="26" t="n">
        <x:f>MIN(E109,I109)</x:f>
        <x:v>-1.10377178095773</x:v>
      </x:c>
      <x:c r="P109" s="26" t="n">
        <x:v>52.5</x:v>
      </x:c>
      <x:c r="Q109" s="26" t="n">
        <x:v>1.2275230526466006</x:v>
      </x:c>
      <x:c r="R109" s="26" t="n">
        <x:v>-1.10377178095773</x:v>
      </x:c>
      <x:c r="S109" s="26" t="n">
        <x:v>1.2275230526466006</x:v>
      </x:c>
      <x:c r="T109" s="26" t="n">
        <x:v>-1.10377178095773</x:v>
      </x:c>
      <x:c r="U109" s="26" t="n">
        <x:v>3.1408798607392403</x:v>
      </x:c>
      <x:c r="V109" s="26" t="n">
        <x:v>-1.1408798607392403</x:v>
      </x:c>
    </x:row>
    <x:row r="110">
      <x:c r="A110" s="26" t="n">
        <x:v>53</x:v>
      </x:c>
      <x:c r="B110" s="26" t="n">
        <x:f>(A110/$N$3)^2</x:f>
        <x:v>1.2510157840850074</x:v>
      </x:c>
      <x:c r="C110" s="26" t="n">
        <x:f>0-(A110/$N$4)^2</x:f>
        <x:v>-1.1248961207112067</x:v>
      </x:c>
      <x:c r="D110" s="26" t="n">
        <x:f>MIN(B110,$N$5)</x:f>
        <x:v>1.2510157840850074</x:v>
      </x:c>
      <x:c r="E110" s="26" t="n">
        <x:f>IF(A110&lt;=$N$7,MAX(C110,$N$6),MAX(C110,$N$6*($N$8-A110)/($N$8-$N$7)))</x:f>
        <x:v>-1.1248961207112067</x:v>
      </x:c>
      <x:c r="F110" s="26" t="n">
        <x:f>IF(A110&lt;=$N$7,1+$N$9*A110/$N$7,$N$10+(A110-$N$7)*($N$12-$N$10)/($N$8-$N$7))</x:f>
        <x:v>3.16126919274628</x:v>
      </x:c>
      <x:c r="G110" s="26" t="n">
        <x:f>IF(A110&lt;=$N$7,1-$N$9*A110/$N$7,$N$11+(A110-$N$7)*($N$13-$N$11)/($N$8-$N$7))</x:f>
        <x:v>-1.1612691927462802</x:v>
      </x:c>
      <x:c r="H110" s="26" t="n">
        <x:f>MIN(F110,B110)</x:f>
        <x:v>1.2510157840850074</x:v>
      </x:c>
      <x:c r="I110" s="26" t="n">
        <x:f>MAX(G110,C110)</x:f>
        <x:v>-1.1248961207112067</x:v>
      </x:c>
      <x:c r="J110" s="26" t="n">
        <x:f>MAX(D110,H110)</x:f>
        <x:v>1.2510157840850074</x:v>
      </x:c>
      <x:c r="K110" s="26" t="n">
        <x:f>MIN(E110,I110)</x:f>
        <x:v>-1.1248961207112067</x:v>
      </x:c>
      <x:c r="P110" s="26" t="n">
        <x:v>53</x:v>
      </x:c>
      <x:c r="Q110" s="26" t="n">
        <x:v>1.2510157840850074</x:v>
      </x:c>
      <x:c r="R110" s="26" t="n">
        <x:v>-1.1248961207112067</x:v>
      </x:c>
      <x:c r="S110" s="26" t="n">
        <x:v>1.2510157840850074</x:v>
      </x:c>
      <x:c r="T110" s="26" t="n">
        <x:v>-1.1248961207112067</x:v>
      </x:c>
      <x:c r="U110" s="26" t="n">
        <x:v>3.1612691927462806</x:v>
      </x:c>
      <x:c r="V110" s="26" t="n">
        <x:v>-1.1612691927462806</x:v>
      </x:c>
    </x:row>
    <x:row r="111">
      <x:c r="A111" s="26" t="n">
        <x:v>53.5</x:v>
      </x:c>
      <x:c r="B111" s="26" t="n">
        <x:f>(A111/$N$3)^2</x:f>
        <x:v>1.2747311954422615</x:v>
      </x:c>
      <x:c r="C111" s="26" t="n">
        <x:f>0-(A111/$N$4)^2</x:f>
        <x:v>-1.1462206911732475</x:v>
      </x:c>
      <x:c r="D111" s="26" t="n">
        <x:f>MIN(B111,$N$5)</x:f>
        <x:v>1.2747311954422615</x:v>
      </x:c>
      <x:c r="E111" s="26" t="n">
        <x:f>IF(A111&lt;=$N$7,MAX(C111,$N$6),MAX(C111,$N$6*($N$8-A111)/($N$8-$N$7)))</x:f>
        <x:v>-1.1462206911732475</x:v>
      </x:c>
      <x:c r="F111" s="26" t="n">
        <x:f>IF(A111&lt;=$N$7,1+$N$9*A111/$N$7,$N$10+(A111-$N$7)*($N$12-$N$10)/($N$8-$N$7))</x:f>
        <x:v>3.181658524753321</x:v>
      </x:c>
      <x:c r="G111" s="26" t="n">
        <x:f>IF(A111&lt;=$N$7,1-$N$9*A111/$N$7,$N$11+(A111-$N$7)*($N$13-$N$11)/($N$8-$N$7))</x:f>
        <x:v>-1.181658524753321</x:v>
      </x:c>
      <x:c r="H111" s="26" t="n">
        <x:f>MIN(F111,B111)</x:f>
        <x:v>1.2747311954422615</x:v>
      </x:c>
      <x:c r="I111" s="26" t="n">
        <x:f>MAX(G111,C111)</x:f>
        <x:v>-1.1462206911732475</x:v>
      </x:c>
      <x:c r="J111" s="26" t="n">
        <x:f>MAX(D111,H111)</x:f>
        <x:v>1.2747311954422615</x:v>
      </x:c>
      <x:c r="K111" s="26" t="n">
        <x:f>MIN(E111,I111)</x:f>
        <x:v>-1.1462206911732475</x:v>
      </x:c>
      <x:c r="P111" s="26" t="n">
        <x:v>53.5</x:v>
      </x:c>
      <x:c r="Q111" s="26" t="n">
        <x:v>1.2747311954422615</x:v>
      </x:c>
      <x:c r="R111" s="26" t="n">
        <x:v>-1.1462206911732475</x:v>
      </x:c>
      <x:c r="S111" s="26" t="n">
        <x:v>1.2747311954422615</x:v>
      </x:c>
      <x:c r="T111" s="26" t="n">
        <x:v>-1.1462206911732475</x:v>
      </x:c>
      <x:c r="U111" s="26" t="n">
        <x:v>3.181658524753321</x:v>
      </x:c>
      <x:c r="V111" s="26" t="n">
        <x:v>-1.181658524753321</x:v>
      </x:c>
    </x:row>
    <x:row r="112">
      <x:c r="A112" s="26" t="n">
        <x:v>54</x:v>
      </x:c>
      <x:c r="B112" s="26" t="n">
        <x:f>(A112/$N$3)^2</x:f>
        <x:v>1.2986692867183631</x:v>
      </x:c>
      <x:c r="C112" s="26" t="n">
        <x:f>0-(A112/$N$4)^2</x:f>
        <x:v>-1.1677454923438517</x:v>
      </x:c>
      <x:c r="D112" s="26" t="n">
        <x:f>MIN(B112,$N$5)</x:f>
        <x:v>1.2986692867183631</x:v>
      </x:c>
      <x:c r="E112" s="26" t="n">
        <x:f>IF(A112&lt;=$N$7,MAX(C112,$N$6),MAX(C112,$N$6*($N$8-A112)/($N$8-$N$7)))</x:f>
        <x:v>-1.1677454923438517</x:v>
      </x:c>
      <x:c r="F112" s="26" t="n">
        <x:f>IF(A112&lt;=$N$7,1+$N$9*A112/$N$7,$N$10+(A112-$N$7)*($N$12-$N$10)/($N$8-$N$7))</x:f>
        <x:v>3.202047856760361</x:v>
      </x:c>
      <x:c r="G112" s="26" t="n">
        <x:f>IF(A112&lt;=$N$7,1-$N$9*A112/$N$7,$N$11+(A112-$N$7)*($N$13-$N$11)/($N$8-$N$7))</x:f>
        <x:v>-1.2020478567603612</x:v>
      </x:c>
      <x:c r="H112" s="26" t="n">
        <x:f>MIN(F112,B112)</x:f>
        <x:v>1.2986692867183631</x:v>
      </x:c>
      <x:c r="I112" s="26" t="n">
        <x:f>MAX(G112,C112)</x:f>
        <x:v>-1.1677454923438517</x:v>
      </x:c>
      <x:c r="J112" s="26" t="n">
        <x:f>MAX(D112,H112)</x:f>
        <x:v>1.2986692867183631</x:v>
      </x:c>
      <x:c r="K112" s="26" t="n">
        <x:f>MIN(E112,I112)</x:f>
        <x:v>-1.1677454923438517</x:v>
      </x:c>
      <x:c r="P112" s="26" t="n">
        <x:v>54</x:v>
      </x:c>
      <x:c r="Q112" s="26" t="n">
        <x:v>1.2986692867183631</x:v>
      </x:c>
      <x:c r="R112" s="26" t="n">
        <x:v>-1.1677454923438517</x:v>
      </x:c>
      <x:c r="S112" s="26" t="n">
        <x:v>1.2986692867183631</x:v>
      </x:c>
      <x:c r="T112" s="26" t="n">
        <x:v>-1.1677454923438517</x:v>
      </x:c>
      <x:c r="U112" s="26" t="n">
        <x:v>3.202047856760361</x:v>
      </x:c>
      <x:c r="V112" s="26" t="n">
        <x:v>-1.2020478567603612</x:v>
      </x:c>
    </x:row>
    <x:row r="113">
      <x:c r="A113" s="26" t="n">
        <x:v>54.5</x:v>
      </x:c>
      <x:c r="B113" s="26" t="n">
        <x:f>(A113/$N$3)^2</x:f>
        <x:v>1.3228300579133117</x:v>
      </x:c>
      <x:c r="C113" s="26" t="n">
        <x:f>0-(A113/$N$4)^2</x:f>
        <x:v>-1.1894705242230195</x:v>
      </x:c>
      <x:c r="D113" s="26" t="n">
        <x:f>MIN(B113,$N$5)</x:f>
        <x:v>1.3228300579133117</x:v>
      </x:c>
      <x:c r="E113" s="26" t="n">
        <x:f>IF(A113&lt;=$N$7,MAX(C113,$N$6),MAX(C113,$N$6*($N$8-A113)/($N$8-$N$7)))</x:f>
        <x:v>-1.1894705242230195</x:v>
      </x:c>
      <x:c r="F113" s="26" t="n">
        <x:f>IF(A113&lt;=$N$7,1+$N$9*A113/$N$7,$N$10+(A113-$N$7)*($N$12-$N$10)/($N$8-$N$7))</x:f>
        <x:v>3.2224371887674015</x:v>
      </x:c>
      <x:c r="G113" s="26" t="n">
        <x:f>IF(A113&lt;=$N$7,1-$N$9*A113/$N$7,$N$11+(A113-$N$7)*($N$13-$N$11)/($N$8-$N$7))</x:f>
        <x:v>-1.2224371887674015</x:v>
      </x:c>
      <x:c r="H113" s="26" t="n">
        <x:f>MIN(F113,B113)</x:f>
        <x:v>1.3228300579133117</x:v>
      </x:c>
      <x:c r="I113" s="26" t="n">
        <x:f>MAX(G113,C113)</x:f>
        <x:v>-1.1894705242230195</x:v>
      </x:c>
      <x:c r="J113" s="26" t="n">
        <x:f>MAX(D113,H113)</x:f>
        <x:v>1.3228300579133117</x:v>
      </x:c>
      <x:c r="K113" s="26" t="n">
        <x:f>MIN(E113,I113)</x:f>
        <x:v>-1.1894705242230195</x:v>
      </x:c>
      <x:c r="P113" s="26" t="n">
        <x:v>54.5</x:v>
      </x:c>
      <x:c r="Q113" s="26" t="n">
        <x:v>1.3228300579133117</x:v>
      </x:c>
      <x:c r="R113" s="26" t="n">
        <x:v>-1.1894705242230195</x:v>
      </x:c>
      <x:c r="S113" s="26" t="n">
        <x:v>1.3228300579133117</x:v>
      </x:c>
      <x:c r="T113" s="26" t="n">
        <x:v>-1.1894705242230195</x:v>
      </x:c>
      <x:c r="U113" s="26" t="n">
        <x:v>3.2224371887674015</x:v>
      </x:c>
      <x:c r="V113" s="26" t="n">
        <x:v>-1.2224371887674015</x:v>
      </x:c>
    </x:row>
    <x:row r="114">
      <x:c r="A114" s="26" t="n">
        <x:v>55</x:v>
      </x:c>
      <x:c r="B114" s="26" t="n">
        <x:f>(A114/$N$3)^2</x:f>
        <x:v>1.3472135090271082</x:v>
      </x:c>
      <x:c r="C114" s="26" t="n">
        <x:f>0-(A114/$N$4)^2</x:f>
        <x:v>-1.2113957868107512</x:v>
      </x:c>
      <x:c r="D114" s="26" t="n">
        <x:f>MIN(B114,$N$5)</x:f>
        <x:v>1.3472135090271082</x:v>
      </x:c>
      <x:c r="E114" s="26" t="n">
        <x:f>IF(A114&lt;=$N$7,MAX(C114,$N$6),MAX(C114,$N$6*($N$8-A114)/($N$8-$N$7)))</x:f>
        <x:v>-1.2113957868107512</x:v>
      </x:c>
      <x:c r="F114" s="26" t="n">
        <x:f>IF(A114&lt;=$N$7,1+$N$9*A114/$N$7,$N$10+(A114-$N$7)*($N$12-$N$10)/($N$8-$N$7))</x:f>
        <x:v>3.242826520774442</x:v>
      </x:c>
      <x:c r="G114" s="26" t="n">
        <x:f>IF(A114&lt;=$N$7,1-$N$9*A114/$N$7,$N$11+(A114-$N$7)*($N$13-$N$11)/($N$8-$N$7))</x:f>
        <x:v>-1.2428265207744418</x:v>
      </x:c>
      <x:c r="H114" s="26" t="n">
        <x:f>MIN(F114,B114)</x:f>
        <x:v>1.3472135090271082</x:v>
      </x:c>
      <x:c r="I114" s="26" t="n">
        <x:f>MAX(G114,C114)</x:f>
        <x:v>-1.2113957868107512</x:v>
      </x:c>
      <x:c r="J114" s="26" t="n">
        <x:f>MAX(D114,H114)</x:f>
        <x:v>1.3472135090271082</x:v>
      </x:c>
      <x:c r="K114" s="26" t="n">
        <x:f>MIN(E114,I114)</x:f>
        <x:v>-1.2113957868107512</x:v>
      </x:c>
      <x:c r="P114" s="26" t="n">
        <x:v>55</x:v>
      </x:c>
      <x:c r="Q114" s="26" t="n">
        <x:v>1.3472135090271082</x:v>
      </x:c>
      <x:c r="R114" s="26" t="n">
        <x:v>-1.2113957868107512</x:v>
      </x:c>
      <x:c r="S114" s="26" t="n">
        <x:v>1.3472135090271082</x:v>
      </x:c>
      <x:c r="T114" s="26" t="n">
        <x:v>-1.2113957868107512</x:v>
      </x:c>
      <x:c r="U114" s="26" t="n">
        <x:v>3.242826520774442</x:v>
      </x:c>
      <x:c r="V114" s="26" t="n">
        <x:v>-1.2428265207744418</x:v>
      </x:c>
    </x:row>
    <x:row r="115">
      <x:c r="A115" s="26" t="n">
        <x:v>55.5</x:v>
      </x:c>
      <x:c r="B115" s="26" t="n">
        <x:f>(A115/$N$3)^2</x:f>
        <x:v>1.3718196400597524</x:v>
      </x:c>
      <x:c r="C115" s="26" t="n">
        <x:f>0-(A115/$N$4)^2</x:f>
        <x:v>-1.233521280107047</x:v>
      </x:c>
      <x:c r="D115" s="26" t="n">
        <x:f>MIN(B115,$N$5)</x:f>
        <x:v>1.3718196400597524</x:v>
      </x:c>
      <x:c r="E115" s="26" t="n">
        <x:f>IF(A115&lt;=$N$7,MAX(C115,$N$6),MAX(C115,$N$6*($N$8-A115)/($N$8-$N$7)))</x:f>
        <x:v>-1.233521280107047</x:v>
      </x:c>
      <x:c r="F115" s="26" t="n">
        <x:f>IF(A115&lt;=$N$7,1+$N$9*A115/$N$7,$N$10+(A115-$N$7)*($N$12-$N$10)/($N$8-$N$7))</x:f>
        <x:v>3.2632158527814825</x:v>
      </x:c>
      <x:c r="G115" s="26" t="n">
        <x:f>IF(A115&lt;=$N$7,1-$N$9*A115/$N$7,$N$11+(A115-$N$7)*($N$13-$N$11)/($N$8-$N$7))</x:f>
        <x:v>-1.2632158527814825</x:v>
      </x:c>
      <x:c r="H115" s="26" t="n">
        <x:f>MIN(F115,B115)</x:f>
        <x:v>1.3718196400597524</x:v>
      </x:c>
      <x:c r="I115" s="26" t="n">
        <x:f>MAX(G115,C115)</x:f>
        <x:v>-1.233521280107047</x:v>
      </x:c>
      <x:c r="J115" s="26" t="n">
        <x:f>MAX(D115,H115)</x:f>
        <x:v>1.3718196400597524</x:v>
      </x:c>
      <x:c r="K115" s="26" t="n">
        <x:f>MIN(E115,I115)</x:f>
        <x:v>-1.233521280107047</x:v>
      </x:c>
      <x:c r="P115" s="26" t="n">
        <x:v>55.5</x:v>
      </x:c>
      <x:c r="Q115" s="26" t="n">
        <x:v>1.3718196400597524</x:v>
      </x:c>
      <x:c r="R115" s="26" t="n">
        <x:v>-1.233521280107047</x:v>
      </x:c>
      <x:c r="S115" s="26" t="n">
        <x:v>1.3718196400597524</x:v>
      </x:c>
      <x:c r="T115" s="26" t="n">
        <x:v>-1.233521280107047</x:v>
      </x:c>
      <x:c r="U115" s="26" t="n">
        <x:v>3.2632158527814825</x:v>
      </x:c>
      <x:c r="V115" s="26" t="n">
        <x:v>-1.2632158527814825</x:v>
      </x:c>
    </x:row>
    <x:row r="116">
      <x:c r="A116" s="26" t="n">
        <x:v>56</x:v>
      </x:c>
      <x:c r="B116" s="26" t="n">
        <x:f>(A116/$N$3)^2</x:f>
        <x:v>1.3966484510112434</x:v>
      </x:c>
      <x:c r="C116" s="26" t="n">
        <x:f>0-(A116/$N$4)^2</x:f>
        <x:v>-1.2558470041119063</x:v>
      </x:c>
      <x:c r="D116" s="26" t="n">
        <x:f>MIN(B116,$N$5)</x:f>
        <x:v>1.3966484510112434</x:v>
      </x:c>
      <x:c r="E116" s="26" t="n">
        <x:f>IF(A116&lt;=$N$7,MAX(C116,$N$6),MAX(C116,$N$6*($N$8-A116)/($N$8-$N$7)))</x:f>
        <x:v>-1.2558470041119063</x:v>
      </x:c>
      <x:c r="F116" s="26" t="n">
        <x:f>IF(A116&lt;=$N$7,1+$N$9*A116/$N$7,$N$10+(A116-$N$7)*($N$12-$N$10)/($N$8-$N$7))</x:f>
        <x:v>3.283605184788523</x:v>
      </x:c>
      <x:c r="G116" s="26" t="n">
        <x:f>IF(A116&lt;=$N$7,1-$N$9*A116/$N$7,$N$11+(A116-$N$7)*($N$13-$N$11)/($N$8-$N$7))</x:f>
        <x:v>-1.2836051847885228</x:v>
      </x:c>
      <x:c r="H116" s="26" t="n">
        <x:f>MIN(F116,B116)</x:f>
        <x:v>1.3966484510112434</x:v>
      </x:c>
      <x:c r="I116" s="26" t="n">
        <x:f>MAX(G116,C116)</x:f>
        <x:v>-1.2558470041119063</x:v>
      </x:c>
      <x:c r="J116" s="26" t="n">
        <x:f>MAX(D116,H116)</x:f>
        <x:v>1.3966484510112434</x:v>
      </x:c>
      <x:c r="K116" s="26" t="n">
        <x:f>MIN(E116,I116)</x:f>
        <x:v>-1.2558470041119063</x:v>
      </x:c>
      <x:c r="P116" s="26" t="n">
        <x:v>56</x:v>
      </x:c>
      <x:c r="Q116" s="26" t="n">
        <x:v>1.3966484510112434</x:v>
      </x:c>
      <x:c r="R116" s="26" t="n">
        <x:v>-1.2558470041119063</x:v>
      </x:c>
      <x:c r="S116" s="26" t="n">
        <x:v>1.3966484510112434</x:v>
      </x:c>
      <x:c r="T116" s="26" t="n">
        <x:v>-1.2558470041119063</x:v>
      </x:c>
      <x:c r="U116" s="26" t="n">
        <x:v>3.283605184788523</x:v>
      </x:c>
      <x:c r="V116" s="26" t="n">
        <x:v>-1.2836051847885228</x:v>
      </x:c>
    </x:row>
    <x:row r="117">
      <x:c r="A117" s="26" t="n">
        <x:v>56.5</x:v>
      </x:c>
      <x:c r="B117" s="26" t="n">
        <x:f>(A117/$N$3)^2</x:f>
        <x:v>1.4216999418815823</x:v>
      </x:c>
      <x:c r="C117" s="26" t="n">
        <x:f>0-(A117/$N$4)^2</x:f>
        <x:v>-1.2783729588253292</x:v>
      </x:c>
      <x:c r="D117" s="26" t="n">
        <x:f>MIN(B117,$N$5)</x:f>
        <x:v>1.4216999418815823</x:v>
      </x:c>
      <x:c r="E117" s="26" t="n">
        <x:f>IF(A117&lt;=$N$7,MAX(C117,$N$6),MAX(C117,$N$6*($N$8-A117)/($N$8-$N$7)))</x:f>
        <x:v>-1.2783729588253292</x:v>
      </x:c>
      <x:c r="F117" s="26" t="n">
        <x:f>IF(A117&lt;=$N$7,1+$N$9*A117/$N$7,$N$10+(A117-$N$7)*($N$12-$N$10)/($N$8-$N$7))</x:f>
        <x:v>3.303994516795563</x:v>
      </x:c>
      <x:c r="G117" s="26" t="n">
        <x:f>IF(A117&lt;=$N$7,1-$N$9*A117/$N$7,$N$11+(A117-$N$7)*($N$13-$N$11)/($N$8-$N$7))</x:f>
        <x:v>-1.303994516795563</x:v>
      </x:c>
      <x:c r="H117" s="26" t="n">
        <x:f>MIN(F117,B117)</x:f>
        <x:v>1.4216999418815823</x:v>
      </x:c>
      <x:c r="I117" s="26" t="n">
        <x:f>MAX(G117,C117)</x:f>
        <x:v>-1.2783729588253292</x:v>
      </x:c>
      <x:c r="J117" s="26" t="n">
        <x:f>MAX(D117,H117)</x:f>
        <x:v>1.4216999418815823</x:v>
      </x:c>
      <x:c r="K117" s="26" t="n">
        <x:f>MIN(E117,I117)</x:f>
        <x:v>-1.2783729588253292</x:v>
      </x:c>
      <x:c r="P117" s="26" t="n">
        <x:v>56.5</x:v>
      </x:c>
      <x:c r="Q117" s="26" t="n">
        <x:v>1.4216999418815823</x:v>
      </x:c>
      <x:c r="R117" s="26" t="n">
        <x:v>-1.2783729588253292</x:v>
      </x:c>
      <x:c r="S117" s="26" t="n">
        <x:v>1.4216999418815823</x:v>
      </x:c>
      <x:c r="T117" s="26" t="n">
        <x:v>-1.2783729588253292</x:v>
      </x:c>
      <x:c r="U117" s="26" t="n">
        <x:v>3.303994516795563</x:v>
      </x:c>
      <x:c r="V117" s="26" t="n">
        <x:v>-1.303994516795563</x:v>
      </x:c>
    </x:row>
    <x:row r="118">
      <x:c r="A118" s="26" t="n">
        <x:v>57</x:v>
      </x:c>
      <x:c r="B118" s="26" t="n">
        <x:f>(A118/$N$3)^2</x:f>
        <x:v>1.4469741126707687</x:v>
      </x:c>
      <x:c r="C118" s="26" t="n">
        <x:f>0-(A118/$N$4)^2</x:f>
        <x:v>-1.3010991442473163</x:v>
      </x:c>
      <x:c r="D118" s="26" t="n">
        <x:f>MIN(B118,$N$5)</x:f>
        <x:v>1.4469741126707687</x:v>
      </x:c>
      <x:c r="E118" s="26" t="n">
        <x:f>IF(A118&lt;=$N$7,MAX(C118,$N$6),MAX(C118,$N$6*($N$8-A118)/($N$8-$N$7)))</x:f>
        <x:v>-1.3010991442473163</x:v>
      </x:c>
      <x:c r="F118" s="26" t="n">
        <x:f>IF(A118&lt;=$N$7,1+$N$9*A118/$N$7,$N$10+(A118-$N$7)*($N$12-$N$10)/($N$8-$N$7))</x:f>
        <x:v>3.3243838488026034</x:v>
      </x:c>
      <x:c r="G118" s="26" t="n">
        <x:f>IF(A118&lt;=$N$7,1-$N$9*A118/$N$7,$N$11+(A118-$N$7)*($N$13-$N$11)/($N$8-$N$7))</x:f>
        <x:v>-1.3243838488026034</x:v>
      </x:c>
      <x:c r="H118" s="26" t="n">
        <x:f>MIN(F118,B118)</x:f>
        <x:v>1.4469741126707687</x:v>
      </x:c>
      <x:c r="I118" s="26" t="n">
        <x:f>MAX(G118,C118)</x:f>
        <x:v>-1.3010991442473163</x:v>
      </x:c>
      <x:c r="J118" s="26" t="n">
        <x:f>MAX(D118,H118)</x:f>
        <x:v>1.4469741126707687</x:v>
      </x:c>
      <x:c r="K118" s="26" t="n">
        <x:f>MIN(E118,I118)</x:f>
        <x:v>-1.3010991442473163</x:v>
      </x:c>
      <x:c r="P118" s="26" t="n">
        <x:v>57</x:v>
      </x:c>
      <x:c r="Q118" s="26" t="n">
        <x:v>1.4469741126707687</x:v>
      </x:c>
      <x:c r="R118" s="26" t="n">
        <x:v>-1.3010991442473163</x:v>
      </x:c>
      <x:c r="S118" s="26" t="n">
        <x:v>1.4469741126707687</x:v>
      </x:c>
      <x:c r="T118" s="26" t="n">
        <x:v>-1.3010991442473163</x:v>
      </x:c>
      <x:c r="U118" s="26" t="n">
        <x:v>3.3243838488026034</x:v>
      </x:c>
      <x:c r="V118" s="26" t="n">
        <x:v>-1.3243838488026034</x:v>
      </x:c>
    </x:row>
    <x:row r="119">
      <x:c r="A119" s="26" t="n">
        <x:v>57.5</x:v>
      </x:c>
      <x:c r="B119" s="26" t="n">
        <x:f>(A119/$N$3)^2</x:f>
        <x:v>1.4724709633788025</x:v>
      </x:c>
      <x:c r="C119" s="26" t="n">
        <x:f>0-(A119/$N$4)^2</x:f>
        <x:v>-1.3240255603778668</x:v>
      </x:c>
      <x:c r="D119" s="26" t="n">
        <x:f>MIN(B119,$N$5)</x:f>
        <x:v>1.4724709633788025</x:v>
      </x:c>
      <x:c r="E119" s="26" t="n">
        <x:f>IF(A119&lt;=$N$7,MAX(C119,$N$6),MAX(C119,$N$6*($N$8-A119)/($N$8-$N$7)))</x:f>
        <x:v>-1.3240255603778668</x:v>
      </x:c>
      <x:c r="F119" s="26" t="n">
        <x:f>IF(A119&lt;=$N$7,1+$N$9*A119/$N$7,$N$10+(A119-$N$7)*($N$12-$N$10)/($N$8-$N$7))</x:f>
        <x:v>3.3447731808096437</x:v>
      </x:c>
      <x:c r="G119" s="26" t="n">
        <x:f>IF(A119&lt;=$N$7,1-$N$9*A119/$N$7,$N$11+(A119-$N$7)*($N$13-$N$11)/($N$8-$N$7))</x:f>
        <x:v>-1.3447731808096437</x:v>
      </x:c>
      <x:c r="H119" s="26" t="n">
        <x:f>MIN(F119,B119)</x:f>
        <x:v>1.4724709633788025</x:v>
      </x:c>
      <x:c r="I119" s="26" t="n">
        <x:f>MAX(G119,C119)</x:f>
        <x:v>-1.3240255603778668</x:v>
      </x:c>
      <x:c r="J119" s="26" t="n">
        <x:f>MAX(D119,H119)</x:f>
        <x:v>1.4724709633788025</x:v>
      </x:c>
      <x:c r="K119" s="26" t="n">
        <x:f>MIN(E119,I119)</x:f>
        <x:v>-1.3240255603778668</x:v>
      </x:c>
      <x:c r="P119" s="26" t="n">
        <x:v>57.5</x:v>
      </x:c>
      <x:c r="Q119" s="26" t="n">
        <x:v>1.4724709633788025</x:v>
      </x:c>
      <x:c r="R119" s="26" t="n">
        <x:v>-1.3240255603778668</x:v>
      </x:c>
      <x:c r="S119" s="26" t="n">
        <x:v>1.4724709633788025</x:v>
      </x:c>
      <x:c r="T119" s="26" t="n">
        <x:v>-1.3240255603778668</x:v>
      </x:c>
      <x:c r="U119" s="26" t="n">
        <x:v>3.3447731808096437</x:v>
      </x:c>
      <x:c r="V119" s="26" t="n">
        <x:v>-1.3447731808096437</x:v>
      </x:c>
    </x:row>
    <x:row r="120">
      <x:c r="A120" s="26" t="n">
        <x:v>58</x:v>
      </x:c>
      <x:c r="B120" s="26" t="n">
        <x:f>(A120/$N$3)^2</x:f>
        <x:v>1.4981904940056832</x:v>
      </x:c>
      <x:c r="C120" s="26" t="n">
        <x:f>0-(A120/$N$4)^2</x:f>
        <x:v>-1.3471522072169808</x:v>
      </x:c>
      <x:c r="D120" s="26" t="n">
        <x:f>MIN(B120,$N$5)</x:f>
        <x:v>1.4981904940056832</x:v>
      </x:c>
      <x:c r="E120" s="26" t="n">
        <x:f>IF(A120&lt;=$N$7,MAX(C120,$N$6),MAX(C120,$N$6*($N$8-A120)/($N$8-$N$7)))</x:f>
        <x:v>-1.3471522072169808</x:v>
      </x:c>
      <x:c r="F120" s="26" t="n">
        <x:f>IF(A120&lt;=$N$7,1+$N$9*A120/$N$7,$N$10+(A120-$N$7)*($N$12-$N$10)/($N$8-$N$7))</x:f>
        <x:v>3.3651625128166844</x:v>
      </x:c>
      <x:c r="G120" s="26" t="n">
        <x:f>IF(A120&lt;=$N$7,1-$N$9*A120/$N$7,$N$11+(A120-$N$7)*($N$13-$N$11)/($N$8-$N$7))</x:f>
        <x:v>-1.3651625128166844</x:v>
      </x:c>
      <x:c r="H120" s="26" t="n">
        <x:f>MIN(F120,B120)</x:f>
        <x:v>1.4981904940056832</x:v>
      </x:c>
      <x:c r="I120" s="26" t="n">
        <x:f>MAX(G120,C120)</x:f>
        <x:v>-1.3471522072169808</x:v>
      </x:c>
      <x:c r="J120" s="26" t="n">
        <x:f>MAX(D120,H120)</x:f>
        <x:v>1.4981904940056832</x:v>
      </x:c>
      <x:c r="K120" s="26" t="n">
        <x:f>MIN(E120,I120)</x:f>
        <x:v>-1.3471522072169808</x:v>
      </x:c>
      <x:c r="P120" s="26" t="n">
        <x:v>58</x:v>
      </x:c>
      <x:c r="Q120" s="26" t="n">
        <x:v>1.4981904940056832</x:v>
      </x:c>
      <x:c r="R120" s="26" t="n">
        <x:v>-1.3471522072169808</x:v>
      </x:c>
      <x:c r="S120" s="26" t="n">
        <x:v>1.4981904940056832</x:v>
      </x:c>
      <x:c r="T120" s="26" t="n">
        <x:v>-1.3471522072169808</x:v>
      </x:c>
      <x:c r="U120" s="26" t="n">
        <x:v>3.3651625128166844</x:v>
      </x:c>
      <x:c r="V120" s="26" t="n">
        <x:v>-1.3651625128166844</x:v>
      </x:c>
    </x:row>
    <x:row r="121">
      <x:c r="A121" s="26" t="n">
        <x:v>58.5</x:v>
      </x:c>
      <x:c r="B121" s="26" t="n">
        <x:f>(A121/$N$3)^2</x:f>
        <x:v>1.524132704551412</x:v>
      </x:c>
      <x:c r="C121" s="26" t="n">
        <x:f>0-(A121/$N$4)^2</x:f>
        <x:v>-1.3704790847646593</x:v>
      </x:c>
      <x:c r="D121" s="26" t="n">
        <x:f>MIN(B121,$N$5)</x:f>
        <x:v>1.524132704551412</x:v>
      </x:c>
      <x:c r="E121" s="26" t="n">
        <x:f>IF(A121&lt;=$N$7,MAX(C121,$N$6),MAX(C121,$N$6*($N$8-A121)/($N$8-$N$7)))</x:f>
        <x:v>-1.3704790847646593</x:v>
      </x:c>
      <x:c r="F121" s="26" t="n">
        <x:f>IF(A121&lt;=$N$7,1+$N$9*A121/$N$7,$N$10+(A121-$N$7)*($N$12-$N$10)/($N$8-$N$7))</x:f>
        <x:v>3.3855518448237247</x:v>
      </x:c>
      <x:c r="G121" s="26" t="n">
        <x:f>IF(A121&lt;=$N$7,1-$N$9*A121/$N$7,$N$11+(A121-$N$7)*($N$13-$N$11)/($N$8-$N$7))</x:f>
        <x:v>-1.3855518448237247</x:v>
      </x:c>
      <x:c r="H121" s="26" t="n">
        <x:f>MIN(F121,B121)</x:f>
        <x:v>1.524132704551412</x:v>
      </x:c>
      <x:c r="I121" s="26" t="n">
        <x:f>MAX(G121,C121)</x:f>
        <x:v>-1.3704790847646593</x:v>
      </x:c>
      <x:c r="J121" s="26" t="n">
        <x:f>MAX(D121,H121)</x:f>
        <x:v>1.524132704551412</x:v>
      </x:c>
      <x:c r="K121" s="26" t="n">
        <x:f>MIN(E121,I121)</x:f>
        <x:v>-1.3704790847646593</x:v>
      </x:c>
      <x:c r="P121" s="26" t="n">
        <x:v>58.5</x:v>
      </x:c>
      <x:c r="Q121" s="26" t="n">
        <x:v>1.524132704551412</x:v>
      </x:c>
      <x:c r="R121" s="26" t="n">
        <x:v>-1.3704790847646593</x:v>
      </x:c>
      <x:c r="S121" s="26" t="n">
        <x:v>1.524132704551412</x:v>
      </x:c>
      <x:c r="T121" s="26" t="n">
        <x:v>-1.3704790847646593</x:v>
      </x:c>
      <x:c r="U121" s="26" t="n">
        <x:v>3.3855518448237247</x:v>
      </x:c>
      <x:c r="V121" s="26" t="n">
        <x:v>-1.3855518448237247</x:v>
      </x:c>
    </x:row>
    <x:row r="122">
      <x:c r="A122" s="26" t="n">
        <x:v>59</x:v>
      </x:c>
      <x:c r="B122" s="26" t="n">
        <x:f>(A122/$N$3)^2</x:f>
        <x:v>1.5502975950159883</x:v>
      </x:c>
      <x:c r="C122" s="26" t="n">
        <x:f>0-(A122/$N$4)^2</x:f>
        <x:v>-1.3940061930209011</x:v>
      </x:c>
      <x:c r="D122" s="26" t="n">
        <x:f>MIN(B122,$N$5)</x:f>
        <x:v>1.5502975950159883</x:v>
      </x:c>
      <x:c r="E122" s="26" t="n">
        <x:f>IF(A122&lt;=$N$7,MAX(C122,$N$6),MAX(C122,$N$6*($N$8-A122)/($N$8-$N$7)))</x:f>
        <x:v>-1.3940061930209011</x:v>
      </x:c>
      <x:c r="F122" s="26" t="n">
        <x:f>IF(A122&lt;=$N$7,1+$N$9*A122/$N$7,$N$10+(A122-$N$7)*($N$12-$N$10)/($N$8-$N$7))</x:f>
        <x:v>3.405941176830765</x:v>
      </x:c>
      <x:c r="G122" s="26" t="n">
        <x:f>IF(A122&lt;=$N$7,1-$N$9*A122/$N$7,$N$11+(A122-$N$7)*($N$13-$N$11)/($N$8-$N$7))</x:f>
        <x:v>-1.405941176830765</x:v>
      </x:c>
      <x:c r="H122" s="26" t="n">
        <x:f>MIN(F122,B122)</x:f>
        <x:v>1.5502975950159883</x:v>
      </x:c>
      <x:c r="I122" s="26" t="n">
        <x:f>MAX(G122,C122)</x:f>
        <x:v>-1.3940061930209011</x:v>
      </x:c>
      <x:c r="J122" s="26" t="n">
        <x:f>MAX(D122,H122)</x:f>
        <x:v>1.5502975950159883</x:v>
      </x:c>
      <x:c r="K122" s="26" t="n">
        <x:f>MIN(E122,I122)</x:f>
        <x:v>-1.3940061930209011</x:v>
      </x:c>
      <x:c r="P122" s="26" t="n">
        <x:v>59</x:v>
      </x:c>
      <x:c r="Q122" s="26" t="n">
        <x:v>1.5502975950159883</x:v>
      </x:c>
      <x:c r="R122" s="26" t="n">
        <x:v>-1.3940061930209011</x:v>
      </x:c>
      <x:c r="S122" s="26" t="n">
        <x:v>1.5502975950159883</x:v>
      </x:c>
      <x:c r="T122" s="26" t="n">
        <x:v>-1.3940061930209011</x:v>
      </x:c>
      <x:c r="U122" s="26" t="n">
        <x:v>3.405941176830765</x:v>
      </x:c>
      <x:c r="V122" s="26" t="n">
        <x:v>-1.405941176830765</x:v>
      </x:c>
    </x:row>
    <x:row r="123">
      <x:c r="A123" s="26" t="n">
        <x:v>59.5</x:v>
      </x:c>
      <x:c r="B123" s="26" t="n">
        <x:f>(A123/$N$3)^2</x:f>
        <x:v>1.5766851653994118</x:v>
      </x:c>
      <x:c r="C123" s="26" t="n">
        <x:f>0-(A123/$N$4)^2</x:f>
        <x:v>-1.4177335319857065</x:v>
      </x:c>
      <x:c r="D123" s="26" t="n">
        <x:f>MIN(B123,$N$5)</x:f>
        <x:v>1.5766851653994118</x:v>
      </x:c>
      <x:c r="E123" s="26" t="n">
        <x:f>IF(A123&lt;=$N$7,MAX(C123,$N$6),MAX(C123,$N$6*($N$8-A123)/($N$8-$N$7)))</x:f>
        <x:v>-1.4177335319857065</x:v>
      </x:c>
      <x:c r="F123" s="26" t="n">
        <x:f>IF(A123&lt;=$N$7,1+$N$9*A123/$N$7,$N$10+(A123-$N$7)*($N$12-$N$10)/($N$8-$N$7))</x:f>
        <x:v>3.4263305088378053</x:v>
      </x:c>
      <x:c r="G123" s="26" t="n">
        <x:f>IF(A123&lt;=$N$7,1-$N$9*A123/$N$7,$N$11+(A123-$N$7)*($N$13-$N$11)/($N$8-$N$7))</x:f>
        <x:v>-1.4263305088378053</x:v>
      </x:c>
      <x:c r="H123" s="26" t="n">
        <x:f>MIN(F123,B123)</x:f>
        <x:v>1.5766851653994118</x:v>
      </x:c>
      <x:c r="I123" s="26" t="n">
        <x:f>MAX(G123,C123)</x:f>
        <x:v>-1.4177335319857065</x:v>
      </x:c>
      <x:c r="J123" s="26" t="n">
        <x:f>MAX(D123,H123)</x:f>
        <x:v>1.5766851653994118</x:v>
      </x:c>
      <x:c r="K123" s="26" t="n">
        <x:f>MIN(E123,I123)</x:f>
        <x:v>-1.4177335319857065</x:v>
      </x:c>
      <x:c r="P123" s="26" t="n">
        <x:v>59.5</x:v>
      </x:c>
      <x:c r="Q123" s="26" t="n">
        <x:v>1.5766851653994118</x:v>
      </x:c>
      <x:c r="R123" s="26" t="n">
        <x:v>-1.4177335319857065</x:v>
      </x:c>
      <x:c r="S123" s="26" t="n">
        <x:v>1.5766851653994118</x:v>
      </x:c>
      <x:c r="T123" s="26" t="n">
        <x:v>-1.4177335319857065</x:v>
      </x:c>
      <x:c r="U123" s="26" t="n">
        <x:v>3.4263305088378053</x:v>
      </x:c>
      <x:c r="V123" s="26" t="n">
        <x:v>-1.4263305088378053</x:v>
      </x:c>
    </x:row>
    <x:row r="124">
      <x:c r="A124" s="26" t="n">
        <x:v>60</x:v>
      </x:c>
      <x:c r="B124" s="26" t="n">
        <x:f>(A124/$N$3)^2</x:f>
        <x:v>1.6032954157016825</x:v>
      </x:c>
      <x:c r="C124" s="26" t="n">
        <x:f>0-(A124/$N$4)^2</x:f>
        <x:v>-1.4416611016590761</x:v>
      </x:c>
      <x:c r="D124" s="26" t="n">
        <x:f>MIN(B124,$N$5)</x:f>
        <x:v>1.6032954157016825</x:v>
      </x:c>
      <x:c r="E124" s="26" t="n">
        <x:f>IF(A124&lt;=$N$7,MAX(C124,$N$6),MAX(C124,$N$6*($N$8-A124)/($N$8-$N$7)))</x:f>
        <x:v>-1.4416611016590761</x:v>
      </x:c>
      <x:c r="F124" s="26" t="n">
        <x:f>IF(A124&lt;=$N$7,1+$N$9*A124/$N$7,$N$10+(A124-$N$7)*($N$12-$N$10)/($N$8-$N$7))</x:f>
        <x:v>3.4467198408448456</x:v>
      </x:c>
      <x:c r="G124" s="26" t="n">
        <x:f>IF(A124&lt;=$N$7,1-$N$9*A124/$N$7,$N$11+(A124-$N$7)*($N$13-$N$11)/($N$8-$N$7))</x:f>
        <x:v>-1.4467198408448456</x:v>
      </x:c>
      <x:c r="H124" s="26" t="n">
        <x:f>MIN(F124,B124)</x:f>
        <x:v>1.6032954157016825</x:v>
      </x:c>
      <x:c r="I124" s="26" t="n">
        <x:f>MAX(G124,C124)</x:f>
        <x:v>-1.4416611016590761</x:v>
      </x:c>
      <x:c r="J124" s="26" t="n">
        <x:f>MAX(D124,H124)</x:f>
        <x:v>1.6032954157016825</x:v>
      </x:c>
      <x:c r="K124" s="26" t="n">
        <x:f>MIN(E124,I124)</x:f>
        <x:v>-1.4416611016590761</x:v>
      </x:c>
      <x:c r="P124" s="26" t="n">
        <x:v>60</x:v>
      </x:c>
      <x:c r="Q124" s="26" t="n">
        <x:v>1.6032954157016825</x:v>
      </x:c>
      <x:c r="R124" s="26" t="n">
        <x:v>-1.4416611016590761</x:v>
      </x:c>
      <x:c r="S124" s="26" t="n">
        <x:v>1.6032954157016825</x:v>
      </x:c>
      <x:c r="T124" s="26" t="n">
        <x:v>-1.4416611016590761</x:v>
      </x:c>
      <x:c r="U124" s="26" t="n">
        <x:v>3.4467198408448456</x:v>
      </x:c>
      <x:c r="V124" s="26" t="n">
        <x:v>-1.4467198408448456</x:v>
      </x:c>
    </x:row>
    <x:row r="125">
      <x:c r="A125" s="26" t="n">
        <x:v>60.5</x:v>
      </x:c>
      <x:c r="B125" s="26" t="n">
        <x:f>(A125/$N$3)^2</x:f>
        <x:v>1.630128345922801</x:v>
      </x:c>
      <x:c r="C125" s="26" t="n">
        <x:f>0-(A125/$N$4)^2</x:f>
        <x:v>-1.4657889020410093</x:v>
      </x:c>
      <x:c r="D125" s="26" t="n">
        <x:f>MIN(B125,$N$5)</x:f>
        <x:v>1.630128345922801</x:v>
      </x:c>
      <x:c r="E125" s="26" t="n">
        <x:f>IF(A125&lt;=$N$7,MAX(C125,$N$6),MAX(C125,$N$6*($N$8-A125)/($N$8-$N$7)))</x:f>
        <x:v>-1.4657889020410093</x:v>
      </x:c>
      <x:c r="F125" s="26" t="n">
        <x:f>IF(A125&lt;=$N$7,1+$N$9*A125/$N$7,$N$10+(A125-$N$7)*($N$12-$N$10)/($N$8-$N$7))</x:f>
        <x:v>3.4671091728518864</x:v>
      </x:c>
      <x:c r="G125" s="26" t="n">
        <x:f>IF(A125&lt;=$N$7,1-$N$9*A125/$N$7,$N$11+(A125-$N$7)*($N$13-$N$11)/($N$8-$N$7))</x:f>
        <x:v>-1.4671091728518864</x:v>
      </x:c>
      <x:c r="H125" s="26" t="n">
        <x:f>MIN(F125,B125)</x:f>
        <x:v>1.630128345922801</x:v>
      </x:c>
      <x:c r="I125" s="26" t="n">
        <x:f>MAX(G125,C125)</x:f>
        <x:v>-1.4657889020410093</x:v>
      </x:c>
      <x:c r="J125" s="26" t="n">
        <x:f>MAX(D125,H125)</x:f>
        <x:v>1.630128345922801</x:v>
      </x:c>
      <x:c r="K125" s="26" t="n">
        <x:f>MIN(E125,I125)</x:f>
        <x:v>-1.4657889020410093</x:v>
      </x:c>
      <x:c r="P125" s="26" t="n">
        <x:v>60.5</x:v>
      </x:c>
      <x:c r="Q125" s="26" t="n">
        <x:v>1.630128345922801</x:v>
      </x:c>
      <x:c r="R125" s="26" t="n">
        <x:v>-1.4657889020410093</x:v>
      </x:c>
      <x:c r="S125" s="26" t="n">
        <x:v>1.630128345922801</x:v>
      </x:c>
      <x:c r="T125" s="26" t="n">
        <x:v>-1.4657889020410093</x:v>
      </x:c>
      <x:c r="U125" s="26" t="n">
        <x:v>3.4671091728518864</x:v>
      </x:c>
      <x:c r="V125" s="26" t="n">
        <x:v>-1.4671091728518864</x:v>
      </x:c>
    </x:row>
    <x:row r="126">
      <x:c r="A126" s="26" t="n">
        <x:v>61</x:v>
      </x:c>
      <x:c r="B126" s="26" t="n">
        <x:f>(A126/$N$3)^2</x:f>
        <x:v>1.657183956062767</x:v>
      </x:c>
      <x:c r="C126" s="26" t="n">
        <x:f>0-(A126/$N$4)^2</x:f>
        <x:v>-1.4901169331315058</x:v>
      </x:c>
      <x:c r="D126" s="26" t="n">
        <x:f>MIN(B126,$N$5)</x:f>
        <x:v>1.657183956062767</x:v>
      </x:c>
      <x:c r="E126" s="26" t="n">
        <x:f>IF(A126&lt;=$N$7,MAX(C126,$N$6),MAX(C126,$N$6*($N$8-A126)/($N$8-$N$7)))</x:f>
        <x:v>-1.4901169331315058</x:v>
      </x:c>
      <x:c r="F126" s="26" t="n">
        <x:f>IF(A126&lt;=$N$7,1+$N$9*A126/$N$7,$N$10+(A126-$N$7)*($N$12-$N$10)/($N$8-$N$7))</x:f>
        <x:v>3.4874985048589267</x:v>
      </x:c>
      <x:c r="G126" s="26" t="n">
        <x:f>IF(A126&lt;=$N$7,1-$N$9*A126/$N$7,$N$11+(A126-$N$7)*($N$13-$N$11)/($N$8-$N$7))</x:f>
        <x:v>-1.4874985048589267</x:v>
      </x:c>
      <x:c r="H126" s="26" t="n">
        <x:f>MIN(F126,B126)</x:f>
        <x:v>1.657183956062767</x:v>
      </x:c>
      <x:c r="I126" s="26" t="n">
        <x:f>MAX(G126,C126)</x:f>
        <x:v>-1.4874985048589267</x:v>
      </x:c>
      <x:c r="J126" s="26" t="n">
        <x:f>MAX(D126,H126)</x:f>
        <x:v>1.657183956062767</x:v>
      </x:c>
      <x:c r="K126" s="26" t="n">
        <x:f>MIN(E126,I126)</x:f>
        <x:v>-1.4901169331315058</x:v>
      </x:c>
      <x:c r="P126" s="26" t="n">
        <x:v>61</x:v>
      </x:c>
      <x:c r="Q126" s="26" t="n">
        <x:v>1.657183956062767</x:v>
      </x:c>
      <x:c r="R126" s="26" t="n">
        <x:v>-1.4901169331315058</x:v>
      </x:c>
      <x:c r="S126" s="26" t="n">
        <x:v>1.657183956062767</x:v>
      </x:c>
      <x:c r="T126" s="26" t="n">
        <x:v>-1.4901169331315058</x:v>
      </x:c>
      <x:c r="U126" s="26" t="n">
        <x:v>3.4874985048589267</x:v>
      </x:c>
      <x:c r="V126" s="26" t="n">
        <x:v>-1.4874985048589267</x:v>
      </x:c>
    </x:row>
    <x:row r="127">
      <x:c r="A127" s="26" t="n">
        <x:v>61.5</x:v>
      </x:c>
      <x:c r="B127" s="26" t="n">
        <x:f>(A127/$N$3)^2</x:f>
        <x:v>1.6844622461215801</x:v>
      </x:c>
      <x:c r="C127" s="26" t="n">
        <x:f>0-(A127/$N$4)^2</x:f>
        <x:v>-1.514645194930567</x:v>
      </x:c>
      <x:c r="D127" s="26" t="n">
        <x:f>MIN(B127,$N$5)</x:f>
        <x:v>1.6844622461215801</x:v>
      </x:c>
      <x:c r="E127" s="26" t="n">
        <x:f>IF(A127&lt;=$N$7,MAX(C127,$N$6),MAX(C127,$N$6*($N$8-A127)/($N$8-$N$7)))</x:f>
        <x:v>-1.514645194930567</x:v>
      </x:c>
      <x:c r="F127" s="26" t="n">
        <x:f>IF(A127&lt;=$N$7,1+$N$9*A127/$N$7,$N$10+(A127-$N$7)*($N$12-$N$10)/($N$8-$N$7))</x:f>
        <x:v>3.507887836865967</x:v>
      </x:c>
      <x:c r="G127" s="26" t="n">
        <x:f>IF(A127&lt;=$N$7,1-$N$9*A127/$N$7,$N$11+(A127-$N$7)*($N$13-$N$11)/($N$8-$N$7))</x:f>
        <x:v>-1.507887836865967</x:v>
      </x:c>
      <x:c r="H127" s="26" t="n">
        <x:f>MIN(F127,B127)</x:f>
        <x:v>1.6844622461215801</x:v>
      </x:c>
      <x:c r="I127" s="26" t="n">
        <x:f>MAX(G127,C127)</x:f>
        <x:v>-1.507887836865967</x:v>
      </x:c>
      <x:c r="J127" s="26" t="n">
        <x:f>MAX(D127,H127)</x:f>
        <x:v>1.6844622461215801</x:v>
      </x:c>
      <x:c r="K127" s="26" t="n">
        <x:f>MIN(E127,I127)</x:f>
        <x:v>-1.514645194930567</x:v>
      </x:c>
      <x:c r="P127" s="26" t="n">
        <x:v>61.5</x:v>
      </x:c>
      <x:c r="Q127" s="26" t="n">
        <x:v>1.6844622461215801</x:v>
      </x:c>
      <x:c r="R127" s="26" t="n">
        <x:v>-1.514645194930567</x:v>
      </x:c>
      <x:c r="S127" s="26" t="n">
        <x:v>1.6844622461215801</x:v>
      </x:c>
      <x:c r="T127" s="26" t="n">
        <x:v>-1.514645194930567</x:v>
      </x:c>
      <x:c r="U127" s="26" t="n">
        <x:v>3.507887836865967</x:v>
      </x:c>
      <x:c r="V127" s="26" t="n">
        <x:v>-1.507887836865967</x:v>
      </x:c>
    </x:row>
    <x:row r="128">
      <x:c r="A128" s="26" t="n">
        <x:v>62</x:v>
      </x:c>
      <x:c r="B128" s="26" t="n">
        <x:f>(A128/$N$3)^2</x:f>
        <x:v>1.711963216099241</x:v>
      </x:c>
      <x:c r="C128" s="26" t="n">
        <x:f>0-(A128/$N$4)^2</x:f>
        <x:v>-1.5393736874381911</x:v>
      </x:c>
      <x:c r="D128" s="26" t="n">
        <x:f>MIN(B128,$N$5)</x:f>
        <x:v>1.711963216099241</x:v>
      </x:c>
      <x:c r="E128" s="26" t="n">
        <x:f>IF(A128&lt;=$N$7,MAX(C128,$N$6),MAX(C128,$N$6*($N$8-A128)/($N$8-$N$7)))</x:f>
        <x:v>-1.52</x:v>
      </x:c>
      <x:c r="F128" s="26" t="n">
        <x:f>IF(A128&lt;=$N$7,1+$N$9*A128/$N$7,$N$10+(A128-$N$7)*($N$12-$N$10)/($N$8-$N$7))</x:f>
        <x:v>3.5282771688730072</x:v>
      </x:c>
      <x:c r="G128" s="26" t="n">
        <x:f>IF(A128&lt;=$N$7,1-$N$9*A128/$N$7,$N$11+(A128-$N$7)*($N$13-$N$11)/($N$8-$N$7))</x:f>
        <x:v>-1.5282771688730072</x:v>
      </x:c>
      <x:c r="H128" s="26" t="n">
        <x:f>MIN(F128,B128)</x:f>
        <x:v>1.711963216099241</x:v>
      </x:c>
      <x:c r="I128" s="26" t="n">
        <x:f>MAX(G128,C128)</x:f>
        <x:v>-1.5282771688730072</x:v>
      </x:c>
      <x:c r="J128" s="26" t="n">
        <x:f>MAX(D128,H128)</x:f>
        <x:v>1.711963216099241</x:v>
      </x:c>
      <x:c r="K128" s="26" t="n">
        <x:f>MIN(E128,I128)</x:f>
        <x:v>-1.5282771688730072</x:v>
      </x:c>
      <x:c r="P128" s="26" t="n">
        <x:v>62</x:v>
      </x:c>
      <x:c r="Q128" s="26" t="n">
        <x:v>1.711963216099241</x:v>
      </x:c>
      <x:c r="R128" s="26" t="n">
        <x:v>-1.5282771688730072</x:v>
      </x:c>
      <x:c r="S128" s="26" t="n">
        <x:v>1.711963216099241</x:v>
      </x:c>
      <x:c r="T128" s="26" t="n">
        <x:v>-1.52</x:v>
      </x:c>
      <x:c r="U128" s="26" t="n">
        <x:v>3.5282771688730072</x:v>
      </x:c>
      <x:c r="V128" s="26" t="n">
        <x:v>-1.5282771688730072</x:v>
      </x:c>
    </x:row>
    <x:row r="129">
      <x:c r="A129" s="26" t="n">
        <x:v>62.5</x:v>
      </x:c>
      <x:c r="B129" s="26" t="n">
        <x:f>(A129/$N$3)^2</x:f>
        <x:v>1.7396868659957494</x:v>
      </x:c>
      <x:c r="C129" s="26" t="n">
        <x:f>0-(A129/$N$4)^2</x:f>
        <x:v>-1.5643024106543792</x:v>
      </x:c>
      <x:c r="D129" s="26" t="n">
        <x:f>MIN(B129,$N$5)</x:f>
        <x:v>1.7396868659957494</x:v>
      </x:c>
      <x:c r="E129" s="26" t="n">
        <x:f>IF(A129&lt;=$N$7,MAX(C129,$N$6),MAX(C129,$N$6*($N$8-A129)/($N$8-$N$7)))</x:f>
        <x:v>-1.52</x:v>
      </x:c>
      <x:c r="F129" s="26" t="n">
        <x:f>IF(A129&lt;=$N$7,1+$N$9*A129/$N$7,$N$10+(A129-$N$7)*($N$12-$N$10)/($N$8-$N$7))</x:f>
        <x:v>3.548666500880048</x:v>
      </x:c>
      <x:c r="G129" s="26" t="n">
        <x:f>IF(A129&lt;=$N$7,1-$N$9*A129/$N$7,$N$11+(A129-$N$7)*($N$13-$N$11)/($N$8-$N$7))</x:f>
        <x:v>-1.548666500880048</x:v>
      </x:c>
      <x:c r="H129" s="26" t="n">
        <x:f>MIN(F129,B129)</x:f>
        <x:v>1.7396868659957494</x:v>
      </x:c>
      <x:c r="I129" s="26" t="n">
        <x:f>MAX(G129,C129)</x:f>
        <x:v>-1.548666500880048</x:v>
      </x:c>
      <x:c r="J129" s="26" t="n">
        <x:f>MAX(D129,H129)</x:f>
        <x:v>1.7396868659957494</x:v>
      </x:c>
      <x:c r="K129" s="26" t="n">
        <x:f>MIN(E129,I129)</x:f>
        <x:v>-1.548666500880048</x:v>
      </x:c>
      <x:c r="P129" s="26" t="n">
        <x:v>62.5</x:v>
      </x:c>
      <x:c r="Q129" s="26" t="n">
        <x:v>1.7396868659957494</x:v>
      </x:c>
      <x:c r="R129" s="26" t="n">
        <x:v>-1.5486665008800475</x:v>
      </x:c>
      <x:c r="S129" s="26" t="n">
        <x:v>1.7396868659957494</x:v>
      </x:c>
      <x:c r="T129" s="26" t="n">
        <x:v>-1.52</x:v>
      </x:c>
      <x:c r="U129" s="26" t="n">
        <x:v>3.5486665008800475</x:v>
      </x:c>
      <x:c r="V129" s="26" t="n">
        <x:v>-1.5486665008800475</x:v>
      </x:c>
    </x:row>
    <x:row r="130">
      <x:c r="A130" s="26" t="n">
        <x:v>63</x:v>
      </x:c>
      <x:c r="B130" s="26" t="n">
        <x:f>(A130/$N$3)^2</x:f>
        <x:v>1.7676331958111053</x:v>
      </x:c>
      <x:c r="C130" s="26" t="n">
        <x:f>0-(A130/$N$4)^2</x:f>
        <x:v>-1.5894313645791316</x:v>
      </x:c>
      <x:c r="D130" s="26" t="n">
        <x:f>MIN(B130,$N$5)</x:f>
        <x:v>1.7676331958111053</x:v>
      </x:c>
      <x:c r="E130" s="26" t="n">
        <x:f>IF(A130&lt;=$N$7,MAX(C130,$N$6),MAX(C130,$N$6*($N$8-A130)/($N$8-$N$7)))</x:f>
        <x:v>-1.52</x:v>
      </x:c>
      <x:c r="F130" s="26" t="n">
        <x:f>IF(A130&lt;=$N$7,1+$N$9*A130/$N$7,$N$10+(A130-$N$7)*($N$12-$N$10)/($N$8-$N$7))</x:f>
        <x:v>3.5690558328870883</x:v>
      </x:c>
      <x:c r="G130" s="26" t="n">
        <x:f>IF(A130&lt;=$N$7,1-$N$9*A130/$N$7,$N$11+(A130-$N$7)*($N$13-$N$11)/($N$8-$N$7))</x:f>
        <x:v>-1.5690558328870883</x:v>
      </x:c>
      <x:c r="H130" s="26" t="n">
        <x:f>MIN(F130,B130)</x:f>
        <x:v>1.7676331958111053</x:v>
      </x:c>
      <x:c r="I130" s="26" t="n">
        <x:f>MAX(G130,C130)</x:f>
        <x:v>-1.5690558328870883</x:v>
      </x:c>
      <x:c r="J130" s="26" t="n">
        <x:f>MAX(D130,H130)</x:f>
        <x:v>1.7676331958111053</x:v>
      </x:c>
      <x:c r="K130" s="26" t="n">
        <x:f>MIN(E130,I130)</x:f>
        <x:v>-1.5690558328870883</x:v>
      </x:c>
      <x:c r="P130" s="26" t="n">
        <x:v>63</x:v>
      </x:c>
      <x:c r="Q130" s="26" t="n">
        <x:v>1.7676331958111053</x:v>
      </x:c>
      <x:c r="R130" s="26" t="n">
        <x:v>-1.5690558328870883</x:v>
      </x:c>
      <x:c r="S130" s="26" t="n">
        <x:v>1.7676331958111053</x:v>
      </x:c>
      <x:c r="T130" s="26" t="n">
        <x:v>-1.52</x:v>
      </x:c>
      <x:c r="U130" s="26" t="n">
        <x:v>3.5690558328870883</x:v>
      </x:c>
      <x:c r="V130" s="26" t="n">
        <x:v>-1.5690558328870883</x:v>
      </x:c>
    </x:row>
    <x:row r="131">
      <x:c r="A131" s="26" t="n">
        <x:v>63.5</x:v>
      </x:c>
      <x:c r="B131" s="26" t="n">
        <x:f>(A131/$N$3)^2</x:f>
        <x:v>1.795802205545308</x:v>
      </x:c>
      <x:c r="C131" s="26" t="n">
        <x:f>0-(A131/$N$4)^2</x:f>
        <x:v>-1.614760549212447</x:v>
      </x:c>
      <x:c r="D131" s="26" t="n">
        <x:f>MIN(B131,$N$5)</x:f>
        <x:v>1.795802205545308</x:v>
      </x:c>
      <x:c r="E131" s="26" t="n">
        <x:f>IF(A131&lt;=$N$7,MAX(C131,$N$6),MAX(C131,$N$6*($N$8-A131)/($N$8-$N$7)))</x:f>
        <x:v>-1.52</x:v>
      </x:c>
      <x:c r="F131" s="26" t="n">
        <x:f>IF(A131&lt;=$N$7,1+$N$9*A131/$N$7,$N$10+(A131-$N$7)*($N$12-$N$10)/($N$8-$N$7))</x:f>
        <x:v>3.5894451648941286</x:v>
      </x:c>
      <x:c r="G131" s="26" t="n">
        <x:f>IF(A131&lt;=$N$7,1-$N$9*A131/$N$7,$N$11+(A131-$N$7)*($N$13-$N$11)/($N$8-$N$7))</x:f>
        <x:v>-1.5894451648941286</x:v>
      </x:c>
      <x:c r="H131" s="26" t="n">
        <x:f>MIN(F131,B131)</x:f>
        <x:v>1.795802205545308</x:v>
      </x:c>
      <x:c r="I131" s="26" t="n">
        <x:f>MAX(G131,C131)</x:f>
        <x:v>-1.5894451648941286</x:v>
      </x:c>
      <x:c r="J131" s="26" t="n">
        <x:f>MAX(D131,H131)</x:f>
        <x:v>1.795802205545308</x:v>
      </x:c>
      <x:c r="K131" s="26" t="n">
        <x:f>MIN(E131,I131)</x:f>
        <x:v>-1.5894451648941286</x:v>
      </x:c>
      <x:c r="P131" s="26" t="n">
        <x:v>63.5</x:v>
      </x:c>
      <x:c r="Q131" s="26" t="n">
        <x:v>1.795802205545308</x:v>
      </x:c>
      <x:c r="R131" s="26" t="n">
        <x:v>-1.5894451648941286</x:v>
      </x:c>
      <x:c r="S131" s="26" t="n">
        <x:v>1.795802205545308</x:v>
      </x:c>
      <x:c r="T131" s="26" t="n">
        <x:v>-1.52</x:v>
      </x:c>
      <x:c r="U131" s="26" t="n">
        <x:v>3.5894451648941286</x:v>
      </x:c>
      <x:c r="V131" s="26" t="n">
        <x:v>-1.5894451648941286</x:v>
      </x:c>
    </x:row>
    <x:row r="132">
      <x:c r="A132" s="26" t="n">
        <x:v>64</x:v>
      </x:c>
      <x:c r="B132" s="26" t="n">
        <x:f>(A132/$N$3)^2</x:f>
        <x:v>1.824193895198359</x:v>
      </x:c>
      <x:c r="C132" s="26" t="n">
        <x:f>0-(A132/$N$4)^2</x:f>
        <x:v>-1.6402899645543263</x:v>
      </x:c>
      <x:c r="D132" s="26" t="n">
        <x:f>MIN(B132,$N$5)</x:f>
        <x:v>1.824193895198359</x:v>
      </x:c>
      <x:c r="E132" s="26" t="n">
        <x:f>IF(A132&lt;=$N$7,MAX(C132,$N$6),MAX(C132,$N$6*($N$8-A132)/($N$8-$N$7)))</x:f>
        <x:v>-1.52</x:v>
      </x:c>
      <x:c r="F132" s="26" t="n">
        <x:f>IF(A132&lt;=$N$7,1+$N$9*A132/$N$7,$N$10+(A132-$N$7)*($N$12-$N$10)/($N$8-$N$7))</x:f>
        <x:v>3.609834496901169</x:v>
      </x:c>
      <x:c r="G132" s="26" t="n">
        <x:f>IF(A132&lt;=$N$7,1-$N$9*A132/$N$7,$N$11+(A132-$N$7)*($N$13-$N$11)/($N$8-$N$7))</x:f>
        <x:v>-1.6098344969011689</x:v>
      </x:c>
      <x:c r="H132" s="26" t="n">
        <x:f>MIN(F132,B132)</x:f>
        <x:v>1.824193895198359</x:v>
      </x:c>
      <x:c r="I132" s="26" t="n">
        <x:f>MAX(G132,C132)</x:f>
        <x:v>-1.6098344969011689</x:v>
      </x:c>
      <x:c r="J132" s="26" t="n">
        <x:f>MAX(D132,H132)</x:f>
        <x:v>1.824193895198359</x:v>
      </x:c>
      <x:c r="K132" s="26" t="n">
        <x:f>MIN(E132,I132)</x:f>
        <x:v>-1.6098344969011689</x:v>
      </x:c>
      <x:c r="P132" s="26" t="n">
        <x:v>64</x:v>
      </x:c>
      <x:c r="Q132" s="26" t="n">
        <x:v>1.824193895198359</x:v>
      </x:c>
      <x:c r="R132" s="26" t="n">
        <x:v>-1.6098344969011689</x:v>
      </x:c>
      <x:c r="S132" s="26" t="n">
        <x:v>1.824193895198359</x:v>
      </x:c>
      <x:c r="T132" s="26" t="n">
        <x:v>-1.52</x:v>
      </x:c>
      <x:c r="U132" s="26" t="n">
        <x:v>3.609834496901169</x:v>
      </x:c>
      <x:c r="V132" s="26" t="n">
        <x:v>-1.6098344969011689</x:v>
      </x:c>
    </x:row>
    <x:row r="133">
      <x:c r="A133" s="26" t="n">
        <x:v>64.5</x:v>
      </x:c>
      <x:c r="B133" s="26" t="n">
        <x:f>(A133/$N$3)^2</x:f>
        <x:v>1.852808264770257</x:v>
      </x:c>
      <x:c r="C133" s="26" t="n">
        <x:f>0-(A133/$N$4)^2</x:f>
        <x:v>-1.66601961060477</x:v>
      </x:c>
      <x:c r="D133" s="26" t="n">
        <x:f>MIN(B133,$N$5)</x:f>
        <x:v>1.852808264770257</x:v>
      </x:c>
      <x:c r="E133" s="26" t="n">
        <x:f>IF(A133&lt;=$N$7,MAX(C133,$N$6),MAX(C133,$N$6*($N$8-A133)/($N$8-$N$7)))</x:f>
        <x:v>-1.52</x:v>
      </x:c>
      <x:c r="F133" s="26" t="n">
        <x:f>IF(A133&lt;=$N$7,1+$N$9*A133/$N$7,$N$10+(A133-$N$7)*($N$12-$N$10)/($N$8-$N$7))</x:f>
        <x:v>3.630223828908209</x:v>
      </x:c>
      <x:c r="G133" s="26" t="n">
        <x:f>IF(A133&lt;=$N$7,1-$N$9*A133/$N$7,$N$11+(A133-$N$7)*($N$13-$N$11)/($N$8-$N$7))</x:f>
        <x:v>-1.6302238289082092</x:v>
      </x:c>
      <x:c r="H133" s="26" t="n">
        <x:f>MIN(F133,B133)</x:f>
        <x:v>1.852808264770257</x:v>
      </x:c>
      <x:c r="I133" s="26" t="n">
        <x:f>MAX(G133,C133)</x:f>
        <x:v>-1.6302238289082092</x:v>
      </x:c>
      <x:c r="J133" s="26" t="n">
        <x:f>MAX(D133,H133)</x:f>
        <x:v>1.852808264770257</x:v>
      </x:c>
      <x:c r="K133" s="26" t="n">
        <x:f>MIN(E133,I133)</x:f>
        <x:v>-1.6302238289082092</x:v>
      </x:c>
      <x:c r="P133" s="26" t="n">
        <x:v>64.5</x:v>
      </x:c>
      <x:c r="Q133" s="26" t="n">
        <x:v>1.852808264770257</x:v>
      </x:c>
      <x:c r="R133" s="26" t="n">
        <x:v>-1.6302238289082092</x:v>
      </x:c>
      <x:c r="S133" s="26" t="n">
        <x:v>1.852808264770257</x:v>
      </x:c>
      <x:c r="T133" s="26" t="n">
        <x:v>-1.52</x:v>
      </x:c>
      <x:c r="U133" s="26" t="n">
        <x:v>3.630223828908209</x:v>
      </x:c>
      <x:c r="V133" s="26" t="n">
        <x:v>-1.6302238289082092</x:v>
      </x:c>
    </x:row>
    <x:row r="134">
      <x:c r="A134" s="26" t="n">
        <x:v>65</x:v>
      </x:c>
      <x:c r="B134" s="26" t="n">
        <x:f>(A134/$N$3)^2</x:f>
        <x:v>1.8816453142610028</x:v>
      </x:c>
      <x:c r="C134" s="26" t="n">
        <x:f>0-(A134/$N$4)^2</x:f>
        <x:v>-1.6919494873637768</x:v>
      </x:c>
      <x:c r="D134" s="26" t="n">
        <x:f>MIN(B134,$N$5)</x:f>
        <x:v>1.8816453142610028</x:v>
      </x:c>
      <x:c r="E134" s="26" t="n">
        <x:f>IF(A134&lt;=$N$7,MAX(C134,$N$6),MAX(C134,$N$6*($N$8-A134)/($N$8-$N$7)))</x:f>
        <x:v>-1.52</x:v>
      </x:c>
      <x:c r="F134" s="26" t="n">
        <x:f>IF(A134&lt;=$N$7,1+$N$9*A134/$N$7,$N$10+(A134-$N$7)*($N$12-$N$10)/($N$8-$N$7))</x:f>
        <x:v>3.65061316091525</x:v>
      </x:c>
      <x:c r="G134" s="26" t="n">
        <x:f>IF(A134&lt;=$N$7,1-$N$9*A134/$N$7,$N$11+(A134-$N$7)*($N$13-$N$11)/($N$8-$N$7))</x:f>
        <x:v>-1.65061316091525</x:v>
      </x:c>
      <x:c r="H134" s="26" t="n">
        <x:f>MIN(F134,B134)</x:f>
        <x:v>1.8816453142610028</x:v>
      </x:c>
      <x:c r="I134" s="26" t="n">
        <x:f>MAX(G134,C134)</x:f>
        <x:v>-1.65061316091525</x:v>
      </x:c>
      <x:c r="J134" s="26" t="n">
        <x:f>MAX(D134,H134)</x:f>
        <x:v>1.8816453142610028</x:v>
      </x:c>
      <x:c r="K134" s="26" t="n">
        <x:f>MIN(E134,I134)</x:f>
        <x:v>-1.65061316091525</x:v>
      </x:c>
      <x:c r="P134" s="26" t="n">
        <x:v>65</x:v>
      </x:c>
      <x:c r="Q134" s="26" t="n">
        <x:v>1.8816453142610028</x:v>
      </x:c>
      <x:c r="R134" s="26" t="n">
        <x:v>-1.6506131609152495</x:v>
      </x:c>
      <x:c r="S134" s="26" t="n">
        <x:v>1.8816453142610028</x:v>
      </x:c>
      <x:c r="T134" s="26" t="n">
        <x:v>-1.52</x:v>
      </x:c>
      <x:c r="U134" s="26" t="n">
        <x:v>3.6506131609152495</x:v>
      </x:c>
      <x:c r="V134" s="26" t="n">
        <x:v>-1.6506131609152495</x:v>
      </x:c>
    </x:row>
    <x:row r="135">
      <x:c r="A135" s="26" t="n">
        <x:v>65.5</x:v>
      </x:c>
      <x:c r="B135" s="26" t="n">
        <x:f>(A135/$N$3)^2</x:f>
        <x:v>1.9107050436705955</x:v>
      </x:c>
      <x:c r="C135" s="26" t="n">
        <x:f>0-(A135/$N$4)^2</x:f>
        <x:v>-1.7180795948313474</x:v>
      </x:c>
      <x:c r="D135" s="26" t="n">
        <x:f>MIN(B135,$N$5)</x:f>
        <x:v>1.9107050436705955</x:v>
      </x:c>
      <x:c r="E135" s="26" t="n">
        <x:f>IF(A135&lt;=$N$7,MAX(C135,$N$6),MAX(C135,$N$6*($N$8-A135)/($N$8-$N$7)))</x:f>
        <x:v>-1.52</x:v>
      </x:c>
      <x:c r="F135" s="26" t="n">
        <x:f>IF(A135&lt;=$N$7,1+$N$9*A135/$N$7,$N$10+(A135-$N$7)*($N$12-$N$10)/($N$8-$N$7))</x:f>
        <x:v>3.67100249292229</x:v>
      </x:c>
      <x:c r="G135" s="26" t="n">
        <x:f>IF(A135&lt;=$N$7,1-$N$9*A135/$N$7,$N$11+(A135-$N$7)*($N$13-$N$11)/($N$8-$N$7))</x:f>
        <x:v>-1.6710024929222902</x:v>
      </x:c>
      <x:c r="H135" s="26" t="n">
        <x:f>MIN(F135,B135)</x:f>
        <x:v>1.9107050436705955</x:v>
      </x:c>
      <x:c r="I135" s="26" t="n">
        <x:f>MAX(G135,C135)</x:f>
        <x:v>-1.6710024929222902</x:v>
      </x:c>
      <x:c r="J135" s="26" t="n">
        <x:f>MAX(D135,H135)</x:f>
        <x:v>1.9107050436705955</x:v>
      </x:c>
      <x:c r="K135" s="26" t="n">
        <x:f>MIN(E135,I135)</x:f>
        <x:v>-1.6710024929222902</x:v>
      </x:c>
      <x:c r="P135" s="26" t="n">
        <x:v>65.5</x:v>
      </x:c>
      <x:c r="Q135" s="26" t="n">
        <x:v>1.9107050436705955</x:v>
      </x:c>
      <x:c r="R135" s="26" t="n">
        <x:v>-1.6710024929222902</x:v>
      </x:c>
      <x:c r="S135" s="26" t="n">
        <x:v>1.9107050436705955</x:v>
      </x:c>
      <x:c r="T135" s="26" t="n">
        <x:v>-1.52</x:v>
      </x:c>
      <x:c r="U135" s="26" t="n">
        <x:v>3.67100249292229</x:v>
      </x:c>
      <x:c r="V135" s="26" t="n">
        <x:v>-1.6710024929222902</x:v>
      </x:c>
    </x:row>
    <x:row r="136">
      <x:c r="A136" s="26" t="n">
        <x:v>66</x:v>
      </x:c>
      <x:c r="B136" s="26" t="n">
        <x:f>(A136/$N$3)^2</x:f>
        <x:v>1.939987452999036</x:v>
      </x:c>
      <x:c r="C136" s="26" t="n">
        <x:f>0-(A136/$N$4)^2</x:f>
        <x:v>-1.7444099330074823</x:v>
      </x:c>
      <x:c r="D136" s="26" t="n">
        <x:f>MIN(B136,$N$5)</x:f>
        <x:v>1.939987452999036</x:v>
      </x:c>
      <x:c r="E136" s="26" t="n">
        <x:f>IF(A136&lt;=$N$7,MAX(C136,$N$6),MAX(C136,$N$6*($N$8-A136)/($N$8-$N$7)))</x:f>
        <x:v>-1.52</x:v>
      </x:c>
      <x:c r="F136" s="26" t="n">
        <x:f>IF(A136&lt;=$N$7,1+$N$9*A136/$N$7,$N$10+(A136-$N$7)*($N$12-$N$10)/($N$8-$N$7))</x:f>
        <x:v>3.6913918249293305</x:v>
      </x:c>
      <x:c r="G136" s="26" t="n">
        <x:f>IF(A136&lt;=$N$7,1-$N$9*A136/$N$7,$N$11+(A136-$N$7)*($N$13-$N$11)/($N$8-$N$7))</x:f>
        <x:v>-1.6913918249293305</x:v>
      </x:c>
      <x:c r="H136" s="26" t="n">
        <x:f>MIN(F136,B136)</x:f>
        <x:v>1.939987452999036</x:v>
      </x:c>
      <x:c r="I136" s="26" t="n">
        <x:f>MAX(G136,C136)</x:f>
        <x:v>-1.6913918249293305</x:v>
      </x:c>
      <x:c r="J136" s="26" t="n">
        <x:f>MAX(D136,H136)</x:f>
        <x:v>1.939987452999036</x:v>
      </x:c>
      <x:c r="K136" s="26" t="n">
        <x:f>MIN(E136,I136)</x:f>
        <x:v>-1.6913918249293305</x:v>
      </x:c>
      <x:c r="P136" s="26" t="n">
        <x:v>66</x:v>
      </x:c>
      <x:c r="Q136" s="26" t="n">
        <x:v>1.939987452999036</x:v>
      </x:c>
      <x:c r="R136" s="26" t="n">
        <x:v>-1.6913918249293305</x:v>
      </x:c>
      <x:c r="S136" s="26" t="n">
        <x:v>1.939987452999036</x:v>
      </x:c>
      <x:c r="T136" s="26" t="n">
        <x:v>-1.52</x:v>
      </x:c>
      <x:c r="U136" s="26" t="n">
        <x:v>3.6913918249293305</x:v>
      </x:c>
      <x:c r="V136" s="26" t="n">
        <x:v>-1.6913918249293305</x:v>
      </x:c>
    </x:row>
    <x:row r="137">
      <x:c r="A137" s="26" t="n">
        <x:v>66.5</x:v>
      </x:c>
      <x:c r="B137" s="26" t="n">
        <x:f>(A137/$N$3)^2</x:f>
        <x:v>1.969492542246324</x:v>
      </x:c>
      <x:c r="C137" s="26" t="n">
        <x:f>0-(A137/$N$4)^2</x:f>
        <x:v>-1.7709405018921804</x:v>
      </x:c>
      <x:c r="D137" s="26" t="n">
        <x:f>MIN(B137,$N$5)</x:f>
        <x:v>1.969492542246324</x:v>
      </x:c>
      <x:c r="E137" s="26" t="n">
        <x:f>IF(A137&lt;=$N$7,MAX(C137,$N$6),MAX(C137,$N$6*($N$8-A137)/($N$8-$N$7)))</x:f>
        <x:v>-1.52</x:v>
      </x:c>
      <x:c r="F137" s="26" t="n">
        <x:f>IF(A137&lt;=$N$7,1+$N$9*A137/$N$7,$N$10+(A137-$N$7)*($N$12-$N$10)/($N$8-$N$7))</x:f>
        <x:v>3.711781156936371</x:v>
      </x:c>
      <x:c r="G137" s="26" t="n">
        <x:f>IF(A137&lt;=$N$7,1-$N$9*A137/$N$7,$N$11+(A137-$N$7)*($N$13-$N$11)/($N$8-$N$7))</x:f>
        <x:v>-1.7117811569363708</x:v>
      </x:c>
      <x:c r="H137" s="26" t="n">
        <x:f>MIN(F137,B137)</x:f>
        <x:v>1.969492542246324</x:v>
      </x:c>
      <x:c r="I137" s="26" t="n">
        <x:f>MAX(G137,C137)</x:f>
        <x:v>-1.7117811569363708</x:v>
      </x:c>
      <x:c r="J137" s="26" t="n">
        <x:f>MAX(D137,H137)</x:f>
        <x:v>1.969492542246324</x:v>
      </x:c>
      <x:c r="K137" s="26" t="n">
        <x:f>MIN(E137,I137)</x:f>
        <x:v>-1.7117811569363708</x:v>
      </x:c>
      <x:c r="P137" s="26" t="n">
        <x:v>66.5</x:v>
      </x:c>
      <x:c r="Q137" s="26" t="n">
        <x:v>1.969492542246324</x:v>
      </x:c>
      <x:c r="R137" s="26" t="n">
        <x:v>-1.7117811569363708</x:v>
      </x:c>
      <x:c r="S137" s="26" t="n">
        <x:v>1.969492542246324</x:v>
      </x:c>
      <x:c r="T137" s="26" t="n">
        <x:v>-1.52</x:v>
      </x:c>
      <x:c r="U137" s="26" t="n">
        <x:v>3.711781156936371</x:v>
      </x:c>
      <x:c r="V137" s="26" t="n">
        <x:v>-1.7117811569363708</x:v>
      </x:c>
    </x:row>
    <x:row r="138">
      <x:c r="A138" s="26" t="n">
        <x:v>67</x:v>
      </x:c>
      <x:c r="B138" s="26" t="n">
        <x:f>(A138/$N$3)^2</x:f>
        <x:v>1.999220311412459</x:v>
      </x:c>
      <x:c r="C138" s="26" t="n">
        <x:f>0-(A138/$N$4)^2</x:f>
        <x:v>-1.7976713014854422</x:v>
      </x:c>
      <x:c r="D138" s="26" t="n">
        <x:f>MIN(B138,$N$5)</x:f>
        <x:v>1.999220311412459</x:v>
      </x:c>
      <x:c r="E138" s="26" t="n">
        <x:f>IF(A138&lt;=$N$7,MAX(C138,$N$6),MAX(C138,$N$6*($N$8-A138)/($N$8-$N$7)))</x:f>
        <x:v>-1.52</x:v>
      </x:c>
      <x:c r="F138" s="26" t="n">
        <x:f>IF(A138&lt;=$N$7,1+$N$9*A138/$N$7,$N$10+(A138-$N$7)*($N$12-$N$10)/($N$8-$N$7))</x:f>
        <x:v>3.732170488943411</x:v>
      </x:c>
      <x:c r="G138" s="26" t="n">
        <x:f>IF(A138&lt;=$N$7,1-$N$9*A138/$N$7,$N$11+(A138-$N$7)*($N$13-$N$11)/($N$8-$N$7))</x:f>
        <x:v>-1.732170488943411</x:v>
      </x:c>
      <x:c r="H138" s="26" t="n">
        <x:f>MIN(F138,B138)</x:f>
        <x:v>1.999220311412459</x:v>
      </x:c>
      <x:c r="I138" s="26" t="n">
        <x:f>MAX(G138,C138)</x:f>
        <x:v>-1.732170488943411</x:v>
      </x:c>
      <x:c r="J138" s="26" t="n">
        <x:f>MAX(D138,H138)</x:f>
        <x:v>1.999220311412459</x:v>
      </x:c>
      <x:c r="K138" s="26" t="n">
        <x:f>MIN(E138,I138)</x:f>
        <x:v>-1.732170488943411</x:v>
      </x:c>
      <x:c r="P138" s="26" t="n">
        <x:v>67</x:v>
      </x:c>
      <x:c r="Q138" s="26" t="n">
        <x:v>1.999220311412459</x:v>
      </x:c>
      <x:c r="R138" s="26" t="n">
        <x:v>-1.732170488943411</x:v>
      </x:c>
      <x:c r="S138" s="26" t="n">
        <x:v>1.999220311412459</x:v>
      </x:c>
      <x:c r="T138" s="26" t="n">
        <x:v>-1.52</x:v>
      </x:c>
      <x:c r="U138" s="26" t="n">
        <x:v>3.732170488943411</x:v>
      </x:c>
      <x:c r="V138" s="26" t="n">
        <x:v>-1.732170488943411</x:v>
      </x:c>
    </x:row>
    <x:row r="139">
      <x:c r="A139" s="26" t="n">
        <x:v>67.5</x:v>
      </x:c>
      <x:c r="B139" s="26" t="n">
        <x:f>(A139/$N$3)^2</x:f>
        <x:v>2.029170760497442</x:v>
      </x:c>
      <x:c r="C139" s="26" t="n">
        <x:f>0-(A139/$N$4)^2</x:f>
        <x:v>-1.8246023317872684</x:v>
      </x:c>
      <x:c r="D139" s="26" t="n">
        <x:f>MIN(B139,$N$5)</x:f>
        <x:v>2.029170760497442</x:v>
      </x:c>
      <x:c r="E139" s="26" t="n">
        <x:f>IF(A139&lt;=$N$7,MAX(C139,$N$6),MAX(C139,$N$6*($N$8-A139)/($N$8-$N$7)))</x:f>
        <x:v>-1.52</x:v>
      </x:c>
      <x:c r="F139" s="26" t="n">
        <x:f>IF(A139&lt;=$N$7,1+$N$9*A139/$N$7,$N$10+(A139-$N$7)*($N$12-$N$10)/($N$8-$N$7))</x:f>
        <x:v>3.752559820950452</x:v>
      </x:c>
      <x:c r="G139" s="26" t="n">
        <x:f>IF(A139&lt;=$N$7,1-$N$9*A139/$N$7,$N$11+(A139-$N$7)*($N$13-$N$11)/($N$8-$N$7))</x:f>
        <x:v>-1.7525598209504518</x:v>
      </x:c>
      <x:c r="H139" s="26" t="n">
        <x:f>MIN(F139,B139)</x:f>
        <x:v>2.029170760497442</x:v>
      </x:c>
      <x:c r="I139" s="26" t="n">
        <x:f>MAX(G139,C139)</x:f>
        <x:v>-1.7525598209504518</x:v>
      </x:c>
      <x:c r="J139" s="26" t="n">
        <x:f>MAX(D139,H139)</x:f>
        <x:v>2.029170760497442</x:v>
      </x:c>
      <x:c r="K139" s="26" t="n">
        <x:f>MIN(E139,I139)</x:f>
        <x:v>-1.7525598209504518</x:v>
      </x:c>
      <x:c r="P139" s="26" t="n">
        <x:v>67.5</x:v>
      </x:c>
      <x:c r="Q139" s="26" t="n">
        <x:v>2.029170760497442</x:v>
      </x:c>
      <x:c r="R139" s="26" t="n">
        <x:v>-1.7525598209504514</x:v>
      </x:c>
      <x:c r="S139" s="26" t="n">
        <x:v>2.029170760497442</x:v>
      </x:c>
      <x:c r="T139" s="26" t="n">
        <x:v>-1.52</x:v>
      </x:c>
      <x:c r="U139" s="26" t="n">
        <x:v>3.7525598209504514</x:v>
      </x:c>
      <x:c r="V139" s="26" t="n">
        <x:v>-1.7525598209504514</x:v>
      </x:c>
    </x:row>
    <x:row r="140">
      <x:c r="A140" s="26" t="n">
        <x:v>68</x:v>
      </x:c>
      <x:c r="B140" s="26" t="n">
        <x:f>(A140/$N$3)^2</x:f>
        <x:v>2.0593438895012723</x:v>
      </x:c>
      <x:c r="C140" s="26" t="n">
        <x:f>0-(A140/$N$4)^2</x:f>
        <x:v>-1.8517335927976577</x:v>
      </x:c>
      <x:c r="D140" s="26" t="n">
        <x:f>MIN(B140,$N$5)</x:f>
        <x:v>2.0593438895012723</x:v>
      </x:c>
      <x:c r="E140" s="26" t="n">
        <x:f>IF(A140&lt;=$N$7,MAX(C140,$N$6),MAX(C140,$N$6*($N$8-A140)/($N$8-$N$7)))</x:f>
        <x:v>-1.52</x:v>
      </x:c>
      <x:c r="F140" s="26" t="n">
        <x:f>IF(A140&lt;=$N$7,1+$N$9*A140/$N$7,$N$10+(A140-$N$7)*($N$12-$N$10)/($N$8-$N$7))</x:f>
        <x:v>3.772949152957492</x:v>
      </x:c>
      <x:c r="G140" s="26" t="n">
        <x:f>IF(A140&lt;=$N$7,1-$N$9*A140/$N$7,$N$11+(A140-$N$7)*($N$13-$N$11)/($N$8-$N$7))</x:f>
        <x:v>-1.7729491529574921</x:v>
      </x:c>
      <x:c r="H140" s="26" t="n">
        <x:f>MIN(F140,B140)</x:f>
        <x:v>2.0593438895012723</x:v>
      </x:c>
      <x:c r="I140" s="26" t="n">
        <x:f>MAX(G140,C140)</x:f>
        <x:v>-1.7729491529574921</x:v>
      </x:c>
      <x:c r="J140" s="26" t="n">
        <x:f>MAX(D140,H140)</x:f>
        <x:v>2.0593438895012723</x:v>
      </x:c>
      <x:c r="K140" s="26" t="n">
        <x:f>MIN(E140,I140)</x:f>
        <x:v>-1.7729491529574921</x:v>
      </x:c>
      <x:c r="P140" s="26" t="n">
        <x:v>68</x:v>
      </x:c>
      <x:c r="Q140" s="26" t="n">
        <x:v>2.0593438895012723</x:v>
      </x:c>
      <x:c r="R140" s="26" t="n">
        <x:v>-1.7729491529574921</x:v>
      </x:c>
      <x:c r="S140" s="26" t="n">
        <x:v>2.0593438895012723</x:v>
      </x:c>
      <x:c r="T140" s="26" t="n">
        <x:v>-1.52</x:v>
      </x:c>
      <x:c r="U140" s="26" t="n">
        <x:v>3.772949152957492</x:v>
      </x:c>
      <x:c r="V140" s="26" t="n">
        <x:v>-1.7729491529574921</x:v>
      </x:c>
    </x:row>
    <x:row r="141">
      <x:c r="A141" s="26" t="n">
        <x:v>68.5</x:v>
      </x:c>
      <x:c r="B141" s="26" t="n">
        <x:f>(A141/$N$3)^2</x:f>
        <x:v>2.0897396984239505</x:v>
      </x:c>
      <x:c r="C141" s="26" t="n">
        <x:f>0-(A141/$N$4)^2</x:f>
        <x:v>-1.8790650845166108</x:v>
      </x:c>
      <x:c r="D141" s="26" t="n">
        <x:f>MIN(B141,$N$5)</x:f>
        <x:v>2.0897396984239505</x:v>
      </x:c>
      <x:c r="E141" s="26" t="n">
        <x:f>IF(A141&lt;=$N$7,MAX(C141,$N$6),MAX(C141,$N$6*($N$8-A141)/($N$8-$N$7)))</x:f>
        <x:v>-1.52</x:v>
      </x:c>
      <x:c r="F141" s="26" t="n">
        <x:f>IF(A141&lt;=$N$7,1+$N$9*A141/$N$7,$N$10+(A141-$N$7)*($N$12-$N$10)/($N$8-$N$7))</x:f>
        <x:v>3.7933384849645324</x:v>
      </x:c>
      <x:c r="G141" s="26" t="n">
        <x:f>IF(A141&lt;=$N$7,1-$N$9*A141/$N$7,$N$11+(A141-$N$7)*($N$13-$N$11)/($N$8-$N$7))</x:f>
        <x:v>-1.7933384849645324</x:v>
      </x:c>
      <x:c r="H141" s="26" t="n">
        <x:f>MIN(F141,B141)</x:f>
        <x:v>2.0897396984239505</x:v>
      </x:c>
      <x:c r="I141" s="26" t="n">
        <x:f>MAX(G141,C141)</x:f>
        <x:v>-1.7933384849645324</x:v>
      </x:c>
      <x:c r="J141" s="26" t="n">
        <x:f>MAX(D141,H141)</x:f>
        <x:v>2.0897396984239505</x:v>
      </x:c>
      <x:c r="K141" s="26" t="n">
        <x:f>MIN(E141,I141)</x:f>
        <x:v>-1.7933384849645324</x:v>
      </x:c>
      <x:c r="P141" s="26" t="n">
        <x:v>68.5</x:v>
      </x:c>
      <x:c r="Q141" s="26" t="n">
        <x:v>2.0897396984239505</x:v>
      </x:c>
      <x:c r="R141" s="26" t="n">
        <x:v>-1.7933384849645324</x:v>
      </x:c>
      <x:c r="S141" s="26" t="n">
        <x:v>2.0897396984239505</x:v>
      </x:c>
      <x:c r="T141" s="26" t="n">
        <x:v>-1.52</x:v>
      </x:c>
      <x:c r="U141" s="26" t="n">
        <x:v>3.7933384849645324</x:v>
      </x:c>
      <x:c r="V141" s="26" t="n">
        <x:v>-1.7933384849645324</x:v>
      </x:c>
    </x:row>
    <x:row r="142">
      <x:c r="A142" s="26" t="n">
        <x:v>69</x:v>
      </x:c>
      <x:c r="B142" s="26" t="n">
        <x:f>(A142/$N$3)^2</x:f>
        <x:v>2.120358187265475</x:v>
      </x:c>
      <x:c r="C142" s="26" t="n">
        <x:f>0-(A142/$N$4)^2</x:f>
        <x:v>-1.9065968069441277</x:v>
      </x:c>
      <x:c r="D142" s="26" t="n">
        <x:f>MIN(B142,$N$5)</x:f>
        <x:v>2.120358187265475</x:v>
      </x:c>
      <x:c r="E142" s="26" t="n">
        <x:f>IF(A142&lt;=$N$7,MAX(C142,$N$6),MAX(C142,$N$6*($N$8-A142)/($N$8-$N$7)))</x:f>
        <x:v>-1.52</x:v>
      </x:c>
      <x:c r="F142" s="26" t="n">
        <x:f>IF(A142&lt;=$N$7,1+$N$9*A142/$N$7,$N$10+(A142-$N$7)*($N$12-$N$10)/($N$8-$N$7))</x:f>
        <x:v>3.8137278169715727</x:v>
      </x:c>
      <x:c r="G142" s="26" t="n">
        <x:f>IF(A142&lt;=$N$7,1-$N$9*A142/$N$7,$N$11+(A142-$N$7)*($N$13-$N$11)/($N$8-$N$7))</x:f>
        <x:v>-1.8137278169715727</x:v>
      </x:c>
      <x:c r="H142" s="26" t="n">
        <x:f>MIN(F142,B142)</x:f>
        <x:v>2.120358187265475</x:v>
      </x:c>
      <x:c r="I142" s="26" t="n">
        <x:f>MAX(G142,C142)</x:f>
        <x:v>-1.8137278169715727</x:v>
      </x:c>
      <x:c r="J142" s="26" t="n">
        <x:f>MAX(D142,H142)</x:f>
        <x:v>2.120358187265475</x:v>
      </x:c>
      <x:c r="K142" s="26" t="n">
        <x:f>MIN(E142,I142)</x:f>
        <x:v>-1.8137278169715727</x:v>
      </x:c>
      <x:c r="P142" s="26" t="n">
        <x:v>69</x:v>
      </x:c>
      <x:c r="Q142" s="26" t="n">
        <x:v>2.120358187265475</x:v>
      </x:c>
      <x:c r="R142" s="26" t="n">
        <x:v>-1.8137278169715727</x:v>
      </x:c>
      <x:c r="S142" s="26" t="n">
        <x:v>2.120358187265475</x:v>
      </x:c>
      <x:c r="T142" s="26" t="n">
        <x:v>-1.52</x:v>
      </x:c>
      <x:c r="U142" s="26" t="n">
        <x:v>3.8137278169715727</x:v>
      </x:c>
      <x:c r="V142" s="26" t="n">
        <x:v>-1.8137278169715727</x:v>
      </x:c>
    </x:row>
    <x:row r="143">
      <x:c r="A143" s="26" t="n">
        <x:v>69.5</x:v>
      </x:c>
      <x:c r="B143" s="26" t="n">
        <x:f>(A143/$N$3)^2</x:f>
        <x:v>2.151199356025848</x:v>
      </x:c>
      <x:c r="C143" s="26" t="n">
        <x:f>0-(A143/$N$4)^2</x:f>
        <x:v>-1.934328760080209</x:v>
      </x:c>
      <x:c r="D143" s="26" t="n">
        <x:f>MIN(B143,$N$5)</x:f>
        <x:v>2.151199356025848</x:v>
      </x:c>
      <x:c r="E143" s="26" t="n">
        <x:f>IF(A143&lt;=$N$7,MAX(C143,$N$6),MAX(C143,$N$6*($N$8-A143)/($N$8-$N$7)))</x:f>
        <x:v>-1.52</x:v>
      </x:c>
      <x:c r="F143" s="26" t="n">
        <x:f>IF(A143&lt;=$N$7,1+$N$9*A143/$N$7,$N$10+(A143-$N$7)*($N$12-$N$10)/($N$8-$N$7))</x:f>
        <x:v>3.834117148978613</x:v>
      </x:c>
      <x:c r="G143" s="26" t="n">
        <x:f>IF(A143&lt;=$N$7,1-$N$9*A143/$N$7,$N$11+(A143-$N$7)*($N$13-$N$11)/($N$8-$N$7))</x:f>
        <x:v>-1.834117148978613</x:v>
      </x:c>
      <x:c r="H143" s="26" t="n">
        <x:f>MIN(F143,B143)</x:f>
        <x:v>2.151199356025848</x:v>
      </x:c>
      <x:c r="I143" s="26" t="n">
        <x:f>MAX(G143,C143)</x:f>
        <x:v>-1.834117148978613</x:v>
      </x:c>
      <x:c r="J143" s="26" t="n">
        <x:f>MAX(D143,H143)</x:f>
        <x:v>2.151199356025848</x:v>
      </x:c>
      <x:c r="K143" s="26" t="n">
        <x:f>MIN(E143,I143)</x:f>
        <x:v>-1.834117148978613</x:v>
      </x:c>
      <x:c r="P143" s="26" t="n">
        <x:v>69.5</x:v>
      </x:c>
      <x:c r="Q143" s="26" t="n">
        <x:v>2.151199356025848</x:v>
      </x:c>
      <x:c r="R143" s="26" t="n">
        <x:v>-1.834117148978613</x:v>
      </x:c>
      <x:c r="S143" s="26" t="n">
        <x:v>2.151199356025848</x:v>
      </x:c>
      <x:c r="T143" s="26" t="n">
        <x:v>-1.52</x:v>
      </x:c>
      <x:c r="U143" s="26" t="n">
        <x:v>3.834117148978613</x:v>
      </x:c>
      <x:c r="V143" s="26" t="n">
        <x:v>-1.834117148978613</x:v>
      </x:c>
    </x:row>
    <x:row r="144">
      <x:c r="A144" s="26" t="n">
        <x:v>69.885651</x:v>
      </x:c>
      <x:c r="B144" s="26" t="n">
        <x:f>(A144/$N$3)^2</x:f>
        <x:v>2.175139324802656</x:v>
      </x:c>
      <x:c r="C144" s="26" t="n">
        <x:f>0-(A144/$N$4)^2</x:f>
        <x:v>-1.9558552494735264</x:v>
      </x:c>
      <x:c r="D144" s="26" t="n">
        <x:f>MIN(B144,$N$5)</x:f>
        <x:v>2.175139324802656</x:v>
      </x:c>
      <x:c r="E144" s="26" t="n">
        <x:f>IF(A144&lt;=$N$7,MAX(C144,$N$6),MAX(C144,$N$6*($N$8-A144)/($N$8-$N$7)))</x:f>
        <x:v>-1.5199999977786443</x:v>
      </x:c>
      <x:c r="F144" s="26" t="n">
        <x:f>IF(A144&lt;=$N$7,1+$N$9*A144/$N$7,$N$10+(A144-$N$7)*($N$12-$N$10)/($N$8-$N$7))</x:f>
        <x:v>3.849843478933666</x:v>
      </x:c>
      <x:c r="G144" s="26" t="n">
        <x:f>IF(A144&lt;=$N$7,1-$N$9*A144/$N$7,$N$11+(A144-$N$7)*($N$13-$N$11)/($N$8-$N$7))</x:f>
        <x:v>-1.849843478933666</x:v>
      </x:c>
      <x:c r="H144" s="26" t="n">
        <x:f>MIN(F144,B144)</x:f>
        <x:v>2.175139324802656</x:v>
      </x:c>
      <x:c r="I144" s="26" t="n">
        <x:f>MAX(G144,C144)</x:f>
        <x:v>-1.849843478933666</x:v>
      </x:c>
      <x:c r="J144" s="26" t="n">
        <x:f>MAX(D144,H144)</x:f>
        <x:v>2.175139324802656</x:v>
      </x:c>
      <x:c r="K144" s="26" t="n">
        <x:f>MIN(E144,I144)</x:f>
        <x:v>-1.849843478933666</x:v>
      </x:c>
      <x:c r="P144" s="26" t="n">
        <x:v>69.885651</x:v>
      </x:c>
      <x:c r="Q144" s="26" t="n">
        <x:v>2.175139324802656</x:v>
      </x:c>
      <x:c r="R144" s="26" t="n">
        <x:v>-1.849843478933666</x:v>
      </x:c>
      <x:c r="S144" s="26" t="n">
        <x:v>2.175139324802656</x:v>
      </x:c>
      <x:c r="T144" s="26" t="n">
        <x:v>-1.5199999977786443</x:v>
      </x:c>
      <x:c r="U144" s="26" t="n">
        <x:v>3.849843478933666</x:v>
      </x:c>
      <x:c r="V144" s="26" t="n">
        <x:v>-1.849843478933666</x:v>
      </x:c>
    </x:row>
    <x:row r="145">
      <x:c r="A145" s="26" t="n">
        <x:v>70</x:v>
      </x:c>
      <x:c r="B145" s="26" t="n">
        <x:f>(A145/$N$3)^2</x:f>
        <x:v>2.1822632047050683</x:v>
      </x:c>
      <x:c r="C145" s="26" t="n">
        <x:f>0-(A145/$N$4)^2</x:f>
        <x:v>-1.9622609439248535</x:v>
      </x:c>
      <x:c r="D145" s="26" t="n">
        <x:f>MIN(B145,$N$5)</x:f>
        <x:v>2.1822632047050683</x:v>
      </x:c>
      <x:c r="E145" s="26" t="n">
        <x:f>IF(A145&lt;=$N$7,MAX(C145,$N$6),MAX(C145,$N$6*($N$8-A145)/($N$8-$N$7)))</x:f>
        <x:v>-1.510006281409403</x:v>
      </x:c>
      <x:c r="F145" s="26" t="n">
        <x:f>IF(A145&lt;=$N$7,1+$N$9*A145/$N$7,$N$10+(A145-$N$7)*($N$12-$N$10)/($N$8-$N$7))</x:f>
        <x:v>3.8428063841064355</x:v>
      </x:c>
      <x:c r="G145" s="26" t="n">
        <x:f>IF(A145&lt;=$N$7,1-$N$9*A145/$N$7,$N$11+(A145-$N$7)*($N$13-$N$11)/($N$8-$N$7))</x:f>
        <x:v>-1.8428063841064355</x:v>
      </x:c>
      <x:c r="H145" s="26" t="n">
        <x:f>MIN(F145,B145)</x:f>
        <x:v>2.1822632047050683</x:v>
      </x:c>
      <x:c r="I145" s="26" t="n">
        <x:f>MAX(G145,C145)</x:f>
        <x:v>-1.8428063841064355</x:v>
      </x:c>
      <x:c r="J145" s="26" t="n">
        <x:f>MAX(D145,H145)</x:f>
        <x:v>2.1822632047050683</x:v>
      </x:c>
      <x:c r="K145" s="26" t="n">
        <x:f>MIN(E145,I145)</x:f>
        <x:v>-1.8428063841064355</x:v>
      </x:c>
      <x:c r="P145" s="26" t="n">
        <x:v>70</x:v>
      </x:c>
      <x:c r="Q145" s="26" t="n">
        <x:v>2.1822632047050683</x:v>
      </x:c>
      <x:c r="R145" s="26" t="n">
        <x:v>-1.8428063841064355</x:v>
      </x:c>
      <x:c r="S145" s="26" t="n">
        <x:v>2.1822632047050683</x:v>
      </x:c>
      <x:c r="T145" s="26" t="n">
        <x:v>-1.510006281409403</x:v>
      </x:c>
      <x:c r="U145" s="26" t="n">
        <x:v>3.8428063841064355</x:v>
      </x:c>
      <x:c r="V145" s="26" t="n">
        <x:v>-1.8428063841064355</x:v>
      </x:c>
    </x:row>
    <x:row r="146">
      <x:c r="A146" s="26" t="n">
        <x:v>70.5</x:v>
      </x:c>
      <x:c r="B146" s="26" t="n">
        <x:f>(A146/$N$3)^2</x:f>
        <x:v>2.213549733303136</x:v>
      </x:c>
      <x:c r="C146" s="26" t="n">
        <x:f>0-(A146/$N$4)^2</x:f>
        <x:v>-1.9903933584780615</x:v>
      </x:c>
      <x:c r="D146" s="26" t="n">
        <x:f>MIN(B146,$N$5)</x:f>
        <x:v>2.213549733303136</x:v>
      </x:c>
      <x:c r="E146" s="26" t="n">
        <x:f>IF(A146&lt;=$N$7,MAX(C146,$N$6),MAX(C146,$N$6*($N$8-A146)/($N$8-$N$7)))</x:f>
        <x:v>-1.466307970233788</x:v>
      </x:c>
      <x:c r="F146" s="26" t="n">
        <x:f>IF(A146&lt;=$N$7,1+$N$9*A146/$N$7,$N$10+(A146-$N$7)*($N$12-$N$10)/($N$8-$N$7))</x:f>
        <x:v>3.8120361332637085</x:v>
      </x:c>
      <x:c r="G146" s="26" t="n">
        <x:f>IF(A146&lt;=$N$7,1-$N$9*A146/$N$7,$N$11+(A146-$N$7)*($N$13-$N$11)/($N$8-$N$7))</x:f>
        <x:v>-1.8120361332637083</x:v>
      </x:c>
      <x:c r="H146" s="26" t="n">
        <x:f>MIN(F146,B146)</x:f>
        <x:v>2.213549733303136</x:v>
      </x:c>
      <x:c r="I146" s="26" t="n">
        <x:f>MAX(G146,C146)</x:f>
        <x:v>-1.8120361332637083</x:v>
      </x:c>
      <x:c r="J146" s="26" t="n">
        <x:f>MAX(D146,H146)</x:f>
        <x:v>2.213549733303136</x:v>
      </x:c>
      <x:c r="K146" s="26" t="n">
        <x:f>MIN(E146,I146)</x:f>
        <x:v>-1.8120361332637083</x:v>
      </x:c>
      <x:c r="P146" s="26" t="n">
        <x:v>70.5</x:v>
      </x:c>
      <x:c r="Q146" s="26" t="n">
        <x:v>2.213549733303136</x:v>
      </x:c>
      <x:c r="R146" s="26" t="n">
        <x:v>-1.8120361332637083</x:v>
      </x:c>
      <x:c r="S146" s="26" t="n">
        <x:v>2.213549733303136</x:v>
      </x:c>
      <x:c r="T146" s="26" t="n">
        <x:v>-1.466307970233788</x:v>
      </x:c>
      <x:c r="U146" s="26" t="n">
        <x:v>3.8120361332637085</x:v>
      </x:c>
      <x:c r="V146" s="26" t="n">
        <x:v>-1.8120361332637083</x:v>
      </x:c>
    </x:row>
    <x:row r="147">
      <x:c r="A147" s="26" t="n">
        <x:v>71</x:v>
      </x:c>
      <x:c r="B147" s="26" t="n">
        <x:f>(A147/$N$3)^2</x:f>
        <x:v>2.2450589418200506</x:v>
      </x:c>
      <x:c r="C147" s="26" t="n">
        <x:f>0-(A147/$N$4)^2</x:f>
        <x:v>-2.0187260037398342</x:v>
      </x:c>
      <x:c r="D147" s="26" t="n">
        <x:f>MIN(B147,$N$5)</x:f>
        <x:v>2.2450589418200506</x:v>
      </x:c>
      <x:c r="E147" s="26" t="n">
        <x:f>IF(A147&lt;=$N$7,MAX(C147,$N$6),MAX(C147,$N$6*($N$8-A147)/($N$8-$N$7)))</x:f>
        <x:v>-1.422609659058173</x:v>
      </x:c>
      <x:c r="F147" s="26" t="n">
        <x:f>IF(A147&lt;=$N$7,1+$N$9*A147/$N$7,$N$10+(A147-$N$7)*($N$12-$N$10)/($N$8-$N$7))</x:f>
        <x:v>3.781265882420981</x:v>
      </x:c>
      <x:c r="G147" s="26" t="n">
        <x:f>IF(A147&lt;=$N$7,1-$N$9*A147/$N$7,$N$11+(A147-$N$7)*($N$13-$N$11)/($N$8-$N$7))</x:f>
        <x:v>-1.781265882420981</x:v>
      </x:c>
      <x:c r="H147" s="26" t="n">
        <x:f>MIN(F147,B147)</x:f>
        <x:v>2.2450589418200506</x:v>
      </x:c>
      <x:c r="I147" s="26" t="n">
        <x:f>MAX(G147,C147)</x:f>
        <x:v>-1.781265882420981</x:v>
      </x:c>
      <x:c r="J147" s="26" t="n">
        <x:f>MAX(D147,H147)</x:f>
        <x:v>2.2450589418200506</x:v>
      </x:c>
      <x:c r="K147" s="26" t="n">
        <x:f>MIN(E147,I147)</x:f>
        <x:v>-1.781265882420981</x:v>
      </x:c>
      <x:c r="P147" s="26" t="n">
        <x:v>71</x:v>
      </x:c>
      <x:c r="Q147" s="26" t="n">
        <x:v>2.2450589418200506</x:v>
      </x:c>
      <x:c r="R147" s="26" t="n">
        <x:v>-1.781265882420981</x:v>
      </x:c>
      <x:c r="S147" s="26" t="n">
        <x:v>2.2450589418200506</x:v>
      </x:c>
      <x:c r="T147" s="26" t="n">
        <x:v>-1.422609659058173</x:v>
      </x:c>
      <x:c r="U147" s="26" t="n">
        <x:v>3.781265882420981</x:v>
      </x:c>
      <x:c r="V147" s="26" t="n">
        <x:v>-1.781265882420981</x:v>
      </x:c>
    </x:row>
    <x:row r="148">
      <x:c r="A148" s="26" t="n">
        <x:v>71.5</x:v>
      </x:c>
      <x:c r="B148" s="26" t="n">
        <x:f>(A148/$N$3)^2</x:f>
        <x:v>2.276790830255813</x:v>
      </x:c>
      <x:c r="C148" s="26" t="n">
        <x:f>0-(A148/$N$4)^2</x:f>
        <x:v>-2.04725887971017</x:v>
      </x:c>
      <x:c r="D148" s="26" t="n">
        <x:f>MIN(B148,$N$5)</x:f>
        <x:v>2.276790830255813</x:v>
      </x:c>
      <x:c r="E148" s="26" t="n">
        <x:f>IF(A148&lt;=$N$7,MAX(C148,$N$6),MAX(C148,$N$6*($N$8-A148)/($N$8-$N$7)))</x:f>
        <x:v>-1.378911347882558</x:v>
      </x:c>
      <x:c r="F148" s="26" t="n">
        <x:f>IF(A148&lt;=$N$7,1+$N$9*A148/$N$7,$N$10+(A148-$N$7)*($N$12-$N$10)/($N$8-$N$7))</x:f>
        <x:v>3.750495631578254</x:v>
      </x:c>
      <x:c r="G148" s="26" t="n">
        <x:f>IF(A148&lt;=$N$7,1-$N$9*A148/$N$7,$N$11+(A148-$N$7)*($N$13-$N$11)/($N$8-$N$7))</x:f>
        <x:v>-1.7504956315782538</x:v>
      </x:c>
      <x:c r="H148" s="26" t="n">
        <x:f>MIN(F148,B148)</x:f>
        <x:v>2.276790830255813</x:v>
      </x:c>
      <x:c r="I148" s="26" t="n">
        <x:f>MAX(G148,C148)</x:f>
        <x:v>-1.7504956315782538</x:v>
      </x:c>
      <x:c r="J148" s="26" t="n">
        <x:f>MAX(D148,H148)</x:f>
        <x:v>2.276790830255813</x:v>
      </x:c>
      <x:c r="K148" s="26" t="n">
        <x:f>MIN(E148,I148)</x:f>
        <x:v>-1.7504956315782538</x:v>
      </x:c>
      <x:c r="P148" s="26" t="n">
        <x:v>71.5</x:v>
      </x:c>
      <x:c r="Q148" s="26" t="n">
        <x:v>2.276790830255813</x:v>
      </x:c>
      <x:c r="R148" s="26" t="n">
        <x:v>-1.7504956315782538</x:v>
      </x:c>
      <x:c r="S148" s="26" t="n">
        <x:v>2.276790830255813</x:v>
      </x:c>
      <x:c r="T148" s="26" t="n">
        <x:v>-1.378911347882558</x:v>
      </x:c>
      <x:c r="U148" s="26" t="n">
        <x:v>3.750495631578254</x:v>
      </x:c>
      <x:c r="V148" s="26" t="n">
        <x:v>-1.7504956315782538</x:v>
      </x:c>
    </x:row>
    <x:row r="149">
      <x:c r="A149" s="26" t="n">
        <x:v>72</x:v>
      </x:c>
      <x:c r="B149" s="26" t="n">
        <x:f>(A149/$N$3)^2</x:f>
        <x:v>2.3087453986104234</x:v>
      </x:c>
      <x:c r="C149" s="26" t="n">
        <x:f>0-(A149/$N$4)^2</x:f>
        <x:v>-2.0759919863890692</x:v>
      </x:c>
      <x:c r="D149" s="26" t="n">
        <x:f>MIN(B149,$N$5)</x:f>
        <x:v>2.3087453986104234</x:v>
      </x:c>
      <x:c r="E149" s="26" t="n">
        <x:f>IF(A149&lt;=$N$7,MAX(C149,$N$6),MAX(C149,$N$6*($N$8-A149)/($N$8-$N$7)))</x:f>
        <x:v>-1.335213036706943</x:v>
      </x:c>
      <x:c r="F149" s="26" t="n">
        <x:f>IF(A149&lt;=$N$7,1+$N$9*A149/$N$7,$N$10+(A149-$N$7)*($N$12-$N$10)/($N$8-$N$7))</x:f>
        <x:v>3.7197253807355266</x:v>
      </x:c>
      <x:c r="G149" s="26" t="n">
        <x:f>IF(A149&lt;=$N$7,1-$N$9*A149/$N$7,$N$11+(A149-$N$7)*($N$13-$N$11)/($N$8-$N$7))</x:f>
        <x:v>-1.7197253807355266</x:v>
      </x:c>
      <x:c r="H149" s="26" t="n">
        <x:f>MIN(F149,B149)</x:f>
        <x:v>2.3087453986104234</x:v>
      </x:c>
      <x:c r="I149" s="26" t="n">
        <x:f>MAX(G149,C149)</x:f>
        <x:v>-1.7197253807355266</x:v>
      </x:c>
      <x:c r="J149" s="26" t="n">
        <x:f>MAX(D149,H149)</x:f>
        <x:v>2.3087453986104234</x:v>
      </x:c>
      <x:c r="K149" s="26" t="n">
        <x:f>MIN(E149,I149)</x:f>
        <x:v>-1.7197253807355266</x:v>
      </x:c>
      <x:c r="P149" s="26" t="n">
        <x:v>72</x:v>
      </x:c>
      <x:c r="Q149" s="26" t="n">
        <x:v>2.3087453986104234</x:v>
      </x:c>
      <x:c r="R149" s="26" t="n">
        <x:v>-1.7197253807355266</x:v>
      </x:c>
      <x:c r="S149" s="26" t="n">
        <x:v>2.3087453986104234</x:v>
      </x:c>
      <x:c r="T149" s="26" t="n">
        <x:v>-1.335213036706943</x:v>
      </x:c>
      <x:c r="U149" s="26" t="n">
        <x:v>3.7197253807355266</x:v>
      </x:c>
      <x:c r="V149" s="26" t="n">
        <x:v>-1.7197253807355266</x:v>
      </x:c>
    </x:row>
    <x:row r="150">
      <x:c r="A150" s="26" t="n">
        <x:v>72.5</x:v>
      </x:c>
      <x:c r="B150" s="26" t="n">
        <x:f>(A150/$N$3)^2</x:f>
        <x:v>2.34092264688388</x:v>
      </x:c>
      <x:c r="C150" s="26" t="n">
        <x:f>0-(A150/$N$4)^2</x:f>
        <x:v>-2.1049253237765333</x:v>
      </x:c>
      <x:c r="D150" s="26" t="n">
        <x:f>MIN(B150,$N$5)</x:f>
        <x:v>2.34092264688388</x:v>
      </x:c>
      <x:c r="E150" s="26" t="n">
        <x:f>IF(A150&lt;=$N$7,MAX(C150,$N$6),MAX(C150,$N$6*($N$8-A150)/($N$8-$N$7)))</x:f>
        <x:v>-1.2915147255313282</x:v>
      </x:c>
      <x:c r="F150" s="26" t="n">
        <x:f>IF(A150&lt;=$N$7,1+$N$9*A150/$N$7,$N$10+(A150-$N$7)*($N$12-$N$10)/($N$8-$N$7))</x:f>
        <x:v>3.688955129892799</x:v>
      </x:c>
      <x:c r="G150" s="26" t="n">
        <x:f>IF(A150&lt;=$N$7,1-$N$9*A150/$N$7,$N$11+(A150-$N$7)*($N$13-$N$11)/($N$8-$N$7))</x:f>
        <x:v>-1.6889551298927994</x:v>
      </x:c>
      <x:c r="H150" s="26" t="n">
        <x:f>MIN(F150,B150)</x:f>
        <x:v>2.34092264688388</x:v>
      </x:c>
      <x:c r="I150" s="26" t="n">
        <x:f>MAX(G150,C150)</x:f>
        <x:v>-1.6889551298927994</x:v>
      </x:c>
      <x:c r="J150" s="26" t="n">
        <x:f>MAX(D150,H150)</x:f>
        <x:v>2.34092264688388</x:v>
      </x:c>
      <x:c r="K150" s="26" t="n">
        <x:f>MIN(E150,I150)</x:f>
        <x:v>-1.6889551298927994</x:v>
      </x:c>
      <x:c r="P150" s="26" t="n">
        <x:v>72.5</x:v>
      </x:c>
      <x:c r="Q150" s="26" t="n">
        <x:v>2.34092264688388</x:v>
      </x:c>
      <x:c r="R150" s="26" t="n">
        <x:v>-1.6889551298927994</x:v>
      </x:c>
      <x:c r="S150" s="26" t="n">
        <x:v>2.34092264688388</x:v>
      </x:c>
      <x:c r="T150" s="26" t="n">
        <x:v>-1.2915147255313282</x:v>
      </x:c>
      <x:c r="U150" s="26" t="n">
        <x:v>3.688955129892799</x:v>
      </x:c>
      <x:c r="V150" s="26" t="n">
        <x:v>-1.6889551298927994</x:v>
      </x:c>
    </x:row>
    <x:row r="151">
      <x:c r="A151" s="26" t="n">
        <x:v>73</x:v>
      </x:c>
      <x:c r="B151" s="26" t="n">
        <x:f>(A151/$N$3)^2</x:f>
        <x:v>2.3733225750761853</x:v>
      </x:c>
      <x:c r="C151" s="26" t="n">
        <x:f>0-(A151/$N$4)^2</x:f>
        <x:v>-2.1340588918725603</x:v>
      </x:c>
      <x:c r="D151" s="26" t="n">
        <x:f>MIN(B151,$N$5)</x:f>
        <x:v>2.3733225750761853</x:v>
      </x:c>
      <x:c r="E151" s="26" t="n">
        <x:f>IF(A151&lt;=$N$7,MAX(C151,$N$6),MAX(C151,$N$6*($N$8-A151)/($N$8-$N$7)))</x:f>
        <x:v>-1.247816414355713</x:v>
      </x:c>
      <x:c r="F151" s="26" t="n">
        <x:f>IF(A151&lt;=$N$7,1+$N$9*A151/$N$7,$N$10+(A151-$N$7)*($N$12-$N$10)/($N$8-$N$7))</x:f>
        <x:v>3.658184879050072</x:v>
      </x:c>
      <x:c r="G151" s="26" t="n">
        <x:f>IF(A151&lt;=$N$7,1-$N$9*A151/$N$7,$N$11+(A151-$N$7)*($N$13-$N$11)/($N$8-$N$7))</x:f>
        <x:v>-1.6581848790500722</x:v>
      </x:c>
      <x:c r="H151" s="26" t="n">
        <x:f>MIN(F151,B151)</x:f>
        <x:v>2.3733225750761853</x:v>
      </x:c>
      <x:c r="I151" s="26" t="n">
        <x:f>MAX(G151,C151)</x:f>
        <x:v>-1.6581848790500722</x:v>
      </x:c>
      <x:c r="J151" s="26" t="n">
        <x:f>MAX(D151,H151)</x:f>
        <x:v>2.3733225750761853</x:v>
      </x:c>
      <x:c r="K151" s="26" t="n">
        <x:f>MIN(E151,I151)</x:f>
        <x:v>-1.6581848790500722</x:v>
      </x:c>
      <x:c r="P151" s="26" t="n">
        <x:v>73</x:v>
      </x:c>
      <x:c r="Q151" s="26" t="n">
        <x:v>2.3733225750761853</x:v>
      </x:c>
      <x:c r="R151" s="26" t="n">
        <x:v>-1.6581848790500722</x:v>
      </x:c>
      <x:c r="S151" s="26" t="n">
        <x:v>2.3733225750761853</x:v>
      </x:c>
      <x:c r="T151" s="26" t="n">
        <x:v>-1.247816414355713</x:v>
      </x:c>
      <x:c r="U151" s="26" t="n">
        <x:v>3.658184879050072</x:v>
      </x:c>
      <x:c r="V151" s="26" t="n">
        <x:v>-1.6581848790500722</x:v>
      </x:c>
    </x:row>
    <x:row r="152">
      <x:c r="A152" s="26" t="n">
        <x:v>73.5</x:v>
      </x:c>
      <x:c r="B152" s="26" t="n">
        <x:f>(A152/$N$3)^2</x:f>
        <x:v>2.4059451831873377</x:v>
      </x:c>
      <x:c r="C152" s="26" t="n">
        <x:f>0-(A152/$N$4)^2</x:f>
        <x:v>-2.1633926906771506</x:v>
      </x:c>
      <x:c r="D152" s="26" t="n">
        <x:f>MIN(B152,$N$5)</x:f>
        <x:v>2.4059451831873377</x:v>
      </x:c>
      <x:c r="E152" s="26" t="n">
        <x:f>IF(A152&lt;=$N$7,MAX(C152,$N$6),MAX(C152,$N$6*($N$8-A152)/($N$8-$N$7)))</x:f>
        <x:v>-1.204118103180098</x:v>
      </x:c>
      <x:c r="F152" s="26" t="n">
        <x:f>IF(A152&lt;=$N$7,1+$N$9*A152/$N$7,$N$10+(A152-$N$7)*($N$12-$N$10)/($N$8-$N$7))</x:f>
        <x:v>3.6274146282073447</x:v>
      </x:c>
      <x:c r="G152" s="26" t="n">
        <x:f>IF(A152&lt;=$N$7,1-$N$9*A152/$N$7,$N$11+(A152-$N$7)*($N$13-$N$11)/($N$8-$N$7))</x:f>
        <x:v>-1.6274146282073447</x:v>
      </x:c>
      <x:c r="H152" s="26" t="n">
        <x:f>MIN(F152,B152)</x:f>
        <x:v>2.4059451831873377</x:v>
      </x:c>
      <x:c r="I152" s="26" t="n">
        <x:f>MAX(G152,C152)</x:f>
        <x:v>-1.6274146282073447</x:v>
      </x:c>
      <x:c r="J152" s="26" t="n">
        <x:f>MAX(D152,H152)</x:f>
        <x:v>2.4059451831873377</x:v>
      </x:c>
      <x:c r="K152" s="26" t="n">
        <x:f>MIN(E152,I152)</x:f>
        <x:v>-1.6274146282073447</x:v>
      </x:c>
      <x:c r="P152" s="26" t="n">
        <x:v>73.5</x:v>
      </x:c>
      <x:c r="Q152" s="26" t="n">
        <x:v>2.4059451831873377</x:v>
      </x:c>
      <x:c r="R152" s="26" t="n">
        <x:v>-1.6274146282073447</x:v>
      </x:c>
      <x:c r="S152" s="26" t="n">
        <x:v>2.4059451831873377</x:v>
      </x:c>
      <x:c r="T152" s="26" t="n">
        <x:v>-1.204118103180098</x:v>
      </x:c>
      <x:c r="U152" s="26" t="n">
        <x:v>3.6274146282073447</x:v>
      </x:c>
      <x:c r="V152" s="26" t="n">
        <x:v>-1.6274146282073447</x:v>
      </x:c>
    </x:row>
    <x:row r="153">
      <x:c r="A153" s="26" t="n">
        <x:v>74</x:v>
      </x:c>
      <x:c r="B153" s="26" t="n">
        <x:f>(A153/$N$3)^2</x:f>
        <x:v>2.4387904712173376</x:v>
      </x:c>
      <x:c r="C153" s="26" t="n">
        <x:f>0-(A153/$N$4)^2</x:f>
        <x:v>-2.192926720190306</x:v>
      </x:c>
      <x:c r="D153" s="26" t="n">
        <x:f>MIN(B153,$N$5)</x:f>
        <x:v>2.4387904712173376</x:v>
      </x:c>
      <x:c r="E153" s="26" t="n">
        <x:f>IF(A153&lt;=$N$7,MAX(C153,$N$6),MAX(C153,$N$6*($N$8-A153)/($N$8-$N$7)))</x:f>
        <x:v>-1.160419792004483</x:v>
      </x:c>
      <x:c r="F153" s="26" t="n">
        <x:f>IF(A153&lt;=$N$7,1+$N$9*A153/$N$7,$N$10+(A153-$N$7)*($N$12-$N$10)/($N$8-$N$7))</x:f>
        <x:v>3.5966443773646177</x:v>
      </x:c>
      <x:c r="G153" s="26" t="n">
        <x:f>IF(A153&lt;=$N$7,1-$N$9*A153/$N$7,$N$11+(A153-$N$7)*($N$13-$N$11)/($N$8-$N$7))</x:f>
        <x:v>-1.5966443773646175</x:v>
      </x:c>
      <x:c r="H153" s="26" t="n">
        <x:f>MIN(F153,B153)</x:f>
        <x:v>2.4387904712173376</x:v>
      </x:c>
      <x:c r="I153" s="26" t="n">
        <x:f>MAX(G153,C153)</x:f>
        <x:v>-1.5966443773646175</x:v>
      </x:c>
      <x:c r="J153" s="26" t="n">
        <x:f>MAX(D153,H153)</x:f>
        <x:v>2.4387904712173376</x:v>
      </x:c>
      <x:c r="K153" s="26" t="n">
        <x:f>MIN(E153,I153)</x:f>
        <x:v>-1.5966443773646175</x:v>
      </x:c>
      <x:c r="P153" s="26" t="n">
        <x:v>74</x:v>
      </x:c>
      <x:c r="Q153" s="26" t="n">
        <x:v>2.4387904712173376</x:v>
      </x:c>
      <x:c r="R153" s="26" t="n">
        <x:v>-1.5966443773646175</x:v>
      </x:c>
      <x:c r="S153" s="26" t="n">
        <x:v>2.4387904712173376</x:v>
      </x:c>
      <x:c r="T153" s="26" t="n">
        <x:v>-1.160419792004483</x:v>
      </x:c>
      <x:c r="U153" s="26" t="n">
        <x:v>3.5966443773646177</x:v>
      </x:c>
      <x:c r="V153" s="26" t="n">
        <x:v>-1.5966443773646175</x:v>
      </x:c>
    </x:row>
    <x:row r="154">
      <x:c r="A154" s="26" t="n">
        <x:v>74.5</x:v>
      </x:c>
      <x:c r="B154" s="26" t="n">
        <x:f>(A154/$N$3)^2</x:f>
        <x:v>2.4718584391661844</x:v>
      </x:c>
      <x:c r="C154" s="26" t="n">
        <x:f>0-(A154/$N$4)^2</x:f>
        <x:v>-2.2226609804120243</x:v>
      </x:c>
      <x:c r="D154" s="26" t="n">
        <x:f>MIN(B154,$N$5)</x:f>
        <x:v>2.4718584391661844</x:v>
      </x:c>
      <x:c r="E154" s="26" t="n">
        <x:f>IF(A154&lt;=$N$7,MAX(C154,$N$6),MAX(C154,$N$6*($N$8-A154)/($N$8-$N$7)))</x:f>
        <x:v>-1.116721480828868</x:v>
      </x:c>
      <x:c r="F154" s="26" t="n">
        <x:f>IF(A154&lt;=$N$7,1+$N$9*A154/$N$7,$N$10+(A154-$N$7)*($N$12-$N$10)/($N$8-$N$7))</x:f>
        <x:v>3.5658741265218903</x:v>
      </x:c>
      <x:c r="G154" s="26" t="n">
        <x:f>IF(A154&lt;=$N$7,1-$N$9*A154/$N$7,$N$11+(A154-$N$7)*($N$13-$N$11)/($N$8-$N$7))</x:f>
        <x:v>-1.5658741265218903</x:v>
      </x:c>
      <x:c r="H154" s="26" t="n">
        <x:f>MIN(F154,B154)</x:f>
        <x:v>2.4718584391661844</x:v>
      </x:c>
      <x:c r="I154" s="26" t="n">
        <x:f>MAX(G154,C154)</x:f>
        <x:v>-1.5658741265218903</x:v>
      </x:c>
      <x:c r="J154" s="26" t="n">
        <x:f>MAX(D154,H154)</x:f>
        <x:v>2.4718584391661844</x:v>
      </x:c>
      <x:c r="K154" s="26" t="n">
        <x:f>MIN(E154,I154)</x:f>
        <x:v>-1.5658741265218903</x:v>
      </x:c>
      <x:c r="P154" s="26" t="n">
        <x:v>74.5</x:v>
      </x:c>
      <x:c r="Q154" s="26" t="n">
        <x:v>2.4718584391661844</x:v>
      </x:c>
      <x:c r="R154" s="26" t="n">
        <x:v>-1.5658741265218903</x:v>
      </x:c>
      <x:c r="S154" s="26" t="n">
        <x:v>2.4718584391661844</x:v>
      </x:c>
      <x:c r="T154" s="26" t="n">
        <x:v>-1.116721480828868</x:v>
      </x:c>
      <x:c r="U154" s="26" t="n">
        <x:v>3.5658741265218903</x:v>
      </x:c>
      <x:c r="V154" s="26" t="n">
        <x:v>-1.5658741265218903</x:v>
      </x:c>
    </x:row>
    <x:row r="155">
      <x:c r="A155" s="26" t="n">
        <x:v>75</x:v>
      </x:c>
      <x:c r="B155" s="26" t="n">
        <x:f>(A155/$N$3)^2</x:f>
        <x:v>2.505149087033879</x:v>
      </x:c>
      <x:c r="C155" s="26" t="n">
        <x:f>0-(A155/$N$4)^2</x:f>
        <x:v>-2.252595471342306</x:v>
      </x:c>
      <x:c r="D155" s="26" t="n">
        <x:f>MIN(B155,$N$5)</x:f>
        <x:v>2.505149087033879</x:v>
      </x:c>
      <x:c r="E155" s="26" t="n">
        <x:f>IF(A155&lt;=$N$7,MAX(C155,$N$6),MAX(C155,$N$6*($N$8-A155)/($N$8-$N$7)))</x:f>
        <x:v>-1.073023169653253</x:v>
      </x:c>
      <x:c r="F155" s="26" t="n">
        <x:f>IF(A155&lt;=$N$7,1+$N$9*A155/$N$7,$N$10+(A155-$N$7)*($N$12-$N$10)/($N$8-$N$7))</x:f>
        <x:v>3.5351038756791633</x:v>
      </x:c>
      <x:c r="G155" s="26" t="n">
        <x:f>IF(A155&lt;=$N$7,1-$N$9*A155/$N$7,$N$11+(A155-$N$7)*($N$13-$N$11)/($N$8-$N$7))</x:f>
        <x:v>-1.535103875679163</x:v>
      </x:c>
      <x:c r="H155" s="26" t="n">
        <x:f>MIN(F155,B155)</x:f>
        <x:v>2.505149087033879</x:v>
      </x:c>
      <x:c r="I155" s="26" t="n">
        <x:f>MAX(G155,C155)</x:f>
        <x:v>-1.535103875679163</x:v>
      </x:c>
      <x:c r="J155" s="26" t="n">
        <x:f>MAX(D155,H155)</x:f>
        <x:v>2.505149087033879</x:v>
      </x:c>
      <x:c r="K155" s="26" t="n">
        <x:f>MIN(E155,I155)</x:f>
        <x:v>-1.535103875679163</x:v>
      </x:c>
      <x:c r="P155" s="26" t="n">
        <x:v>75</x:v>
      </x:c>
      <x:c r="Q155" s="26" t="n">
        <x:v>2.505149087033879</x:v>
      </x:c>
      <x:c r="R155" s="26" t="n">
        <x:v>-1.535103875679163</x:v>
      </x:c>
      <x:c r="S155" s="26" t="n">
        <x:v>2.505149087033879</x:v>
      </x:c>
      <x:c r="T155" s="26" t="n">
        <x:v>-1.073023169653253</x:v>
      </x:c>
      <x:c r="U155" s="26" t="n">
        <x:v>3.5351038756791633</x:v>
      </x:c>
      <x:c r="V155" s="26" t="n">
        <x:v>-1.535103875679163</x:v>
      </x:c>
    </x:row>
    <x:row r="156">
      <x:c r="A156" s="26" t="n">
        <x:v>75.5</x:v>
      </x:c>
      <x:c r="B156" s="26" t="n">
        <x:f>(A156/$N$3)^2</x:f>
        <x:v>2.5386624148204215</x:v>
      </x:c>
      <x:c r="C156" s="26" t="n">
        <x:f>0-(A156/$N$4)^2</x:f>
        <x:v>-2.2827301929811523</x:v>
      </x:c>
      <x:c r="D156" s="26" t="n">
        <x:f>MIN(B156,$N$5)</x:f>
        <x:v>2.5386624148204215</x:v>
      </x:c>
      <x:c r="E156" s="26" t="n">
        <x:f>IF(A156&lt;=$N$7,MAX(C156,$N$6),MAX(C156,$N$6*($N$8-A156)/($N$8-$N$7)))</x:f>
        <x:v>-1.029324858477638</x:v>
      </x:c>
      <x:c r="F156" s="26" t="n">
        <x:f>IF(A156&lt;=$N$7,1+$N$9*A156/$N$7,$N$10+(A156-$N$7)*($N$12-$N$10)/($N$8-$N$7))</x:f>
        <x:v>3.504333624836436</x:v>
      </x:c>
      <x:c r="G156" s="26" t="n">
        <x:f>IF(A156&lt;=$N$7,1-$N$9*A156/$N$7,$N$11+(A156-$N$7)*($N$13-$N$11)/($N$8-$N$7))</x:f>
        <x:v>-1.5043336248364358</x:v>
      </x:c>
      <x:c r="H156" s="26" t="n">
        <x:f>MIN(F156,B156)</x:f>
        <x:v>2.5386624148204215</x:v>
      </x:c>
      <x:c r="I156" s="26" t="n">
        <x:f>MAX(G156,C156)</x:f>
        <x:v>-1.5043336248364358</x:v>
      </x:c>
      <x:c r="J156" s="26" t="n">
        <x:f>MAX(D156,H156)</x:f>
        <x:v>2.5386624148204215</x:v>
      </x:c>
      <x:c r="K156" s="26" t="n">
        <x:f>MIN(E156,I156)</x:f>
        <x:v>-1.5043336248364358</x:v>
      </x:c>
      <x:c r="P156" s="26" t="n">
        <x:v>75.5</x:v>
      </x:c>
      <x:c r="Q156" s="26" t="n">
        <x:v>2.5386624148204215</x:v>
      </x:c>
      <x:c r="R156" s="26" t="n">
        <x:v>-1.5043336248364358</x:v>
      </x:c>
      <x:c r="S156" s="26" t="n">
        <x:v>2.5386624148204215</x:v>
      </x:c>
      <x:c r="T156" s="26" t="n">
        <x:v>-1.029324858477638</x:v>
      </x:c>
      <x:c r="U156" s="26" t="n">
        <x:v>3.504333624836436</x:v>
      </x:c>
      <x:c r="V156" s="26" t="n">
        <x:v>-1.5043336248364358</x:v>
      </x:c>
    </x:row>
    <x:row r="157">
      <x:c r="A157" s="26" t="n">
        <x:v>76</x:v>
      </x:c>
      <x:c r="B157" s="26" t="n">
        <x:f>(A157/$N$3)^2</x:f>
        <x:v>2.572398422525811</x:v>
      </x:c>
      <x:c r="C157" s="26" t="n">
        <x:f>0-(A157/$N$4)^2</x:f>
        <x:v>-2.313065145328562</x:v>
      </x:c>
      <x:c r="D157" s="26" t="n">
        <x:f>MIN(B157,$N$5)</x:f>
        <x:v>2.572398422525811</x:v>
      </x:c>
      <x:c r="E157" s="26" t="n">
        <x:f>IF(A157&lt;=$N$7,MAX(C157,$N$6),MAX(C157,$N$6*($N$8-A157)/($N$8-$N$7)))</x:f>
        <x:v>-0.985626547302023</x:v>
      </x:c>
      <x:c r="F157" s="26" t="n">
        <x:f>IF(A157&lt;=$N$7,1+$N$9*A157/$N$7,$N$10+(A157-$N$7)*($N$12-$N$10)/($N$8-$N$7))</x:f>
        <x:v>3.4735633739937084</x:v>
      </x:c>
      <x:c r="G157" s="26" t="n">
        <x:f>IF(A157&lt;=$N$7,1-$N$9*A157/$N$7,$N$11+(A157-$N$7)*($N$13-$N$11)/($N$8-$N$7))</x:f>
        <x:v>-1.4735633739937084</x:v>
      </x:c>
      <x:c r="H157" s="26" t="n">
        <x:f>MIN(F157,B157)</x:f>
        <x:v>2.572398422525811</x:v>
      </x:c>
      <x:c r="I157" s="26" t="n">
        <x:f>MAX(G157,C157)</x:f>
        <x:v>-1.4735633739937084</x:v>
      </x:c>
      <x:c r="J157" s="26" t="n">
        <x:f>MAX(D157,H157)</x:f>
        <x:v>2.572398422525811</x:v>
      </x:c>
      <x:c r="K157" s="26" t="n">
        <x:f>MIN(E157,I157)</x:f>
        <x:v>-1.4735633739937084</x:v>
      </x:c>
      <x:c r="P157" s="26" t="n">
        <x:v>76</x:v>
      </x:c>
      <x:c r="Q157" s="26" t="n">
        <x:v>2.572398422525811</x:v>
      </x:c>
      <x:c r="R157" s="26" t="n">
        <x:v>-1.4735633739937084</x:v>
      </x:c>
      <x:c r="S157" s="26" t="n">
        <x:v>2.572398422525811</x:v>
      </x:c>
      <x:c r="T157" s="26" t="n">
        <x:v>-0.985626547302023</x:v>
      </x:c>
      <x:c r="U157" s="26" t="n">
        <x:v>3.4735633739937084</x:v>
      </x:c>
      <x:c r="V157" s="26" t="n">
        <x:v>-1.4735633739937084</x:v>
      </x:c>
    </x:row>
    <x:row r="158">
      <x:c r="A158" s="26" t="n">
        <x:v>76.5</x:v>
      </x:c>
      <x:c r="B158" s="26" t="n">
        <x:f>(A158/$N$3)^2</x:f>
        <x:v>2.606357110150048</x:v>
      </x:c>
      <x:c r="C158" s="26" t="n">
        <x:f>0-(A158/$N$4)^2</x:f>
        <x:v>-2.3436003283845355</x:v>
      </x:c>
      <x:c r="D158" s="26" t="n">
        <x:f>MIN(B158,$N$5)</x:f>
        <x:v>2.606357110150048</x:v>
      </x:c>
      <x:c r="E158" s="26" t="n">
        <x:f>IF(A158&lt;=$N$7,MAX(C158,$N$6),MAX(C158,$N$6*($N$8-A158)/($N$8-$N$7)))</x:f>
        <x:v>-0.941928236126408</x:v>
      </x:c>
      <x:c r="F158" s="26" t="n">
        <x:f>IF(A158&lt;=$N$7,1+$N$9*A158/$N$7,$N$10+(A158-$N$7)*($N$12-$N$10)/($N$8-$N$7))</x:f>
        <x:v>3.4427931231509814</x:v>
      </x:c>
      <x:c r="G158" s="26" t="n">
        <x:f>IF(A158&lt;=$N$7,1-$N$9*A158/$N$7,$N$11+(A158-$N$7)*($N$13-$N$11)/($N$8-$N$7))</x:f>
        <x:v>-1.4427931231509814</x:v>
      </x:c>
      <x:c r="H158" s="26" t="n">
        <x:f>MIN(F158,B158)</x:f>
        <x:v>2.606357110150048</x:v>
      </x:c>
      <x:c r="I158" s="26" t="n">
        <x:f>MAX(G158,C158)</x:f>
        <x:v>-1.4427931231509814</x:v>
      </x:c>
      <x:c r="J158" s="26" t="n">
        <x:f>MAX(D158,H158)</x:f>
        <x:v>2.606357110150048</x:v>
      </x:c>
      <x:c r="K158" s="26" t="n">
        <x:f>MIN(E158,I158)</x:f>
        <x:v>-1.4427931231509814</x:v>
      </x:c>
      <x:c r="P158" s="26" t="n">
        <x:v>76.5</x:v>
      </x:c>
      <x:c r="Q158" s="26" t="n">
        <x:v>2.606357110150048</x:v>
      </x:c>
      <x:c r="R158" s="26" t="n">
        <x:v>-1.4427931231509814</x:v>
      </x:c>
      <x:c r="S158" s="26" t="n">
        <x:v>2.606357110150048</x:v>
      </x:c>
      <x:c r="T158" s="26" t="n">
        <x:v>-0.941928236126408</x:v>
      </x:c>
      <x:c r="U158" s="26" t="n">
        <x:v>3.4427931231509814</x:v>
      </x:c>
      <x:c r="V158" s="26" t="n">
        <x:v>-1.4427931231509814</x:v>
      </x:c>
    </x:row>
    <x:row r="159">
      <x:c r="A159" s="26" t="n">
        <x:v>77</x:v>
      </x:c>
      <x:c r="B159" s="26" t="n">
        <x:f>(A159/$N$3)^2</x:f>
        <x:v>2.6405384776931324</x:v>
      </x:c>
      <x:c r="C159" s="26" t="n">
        <x:f>0-(A159/$N$4)^2</x:f>
        <x:v>-2.374335742149073</x:v>
      </x:c>
      <x:c r="D159" s="26" t="n">
        <x:f>MIN(B159,$N$5)</x:f>
        <x:v>2.6405384776931324</x:v>
      </x:c>
      <x:c r="E159" s="26" t="n">
        <x:f>IF(A159&lt;=$N$7,MAX(C159,$N$6),MAX(C159,$N$6*($N$8-A159)/($N$8-$N$7)))</x:f>
        <x:v>-0.8982299249507929</x:v>
      </x:c>
      <x:c r="F159" s="26" t="n">
        <x:f>IF(A159&lt;=$N$7,1+$N$9*A159/$N$7,$N$10+(A159-$N$7)*($N$12-$N$10)/($N$8-$N$7))</x:f>
        <x:v>3.412022872308254</x:v>
      </x:c>
      <x:c r="G159" s="26" t="n">
        <x:f>IF(A159&lt;=$N$7,1-$N$9*A159/$N$7,$N$11+(A159-$N$7)*($N$13-$N$11)/($N$8-$N$7))</x:f>
        <x:v>-1.412022872308254</x:v>
      </x:c>
      <x:c r="H159" s="26" t="n">
        <x:f>MIN(F159,B159)</x:f>
        <x:v>2.6405384776931324</x:v>
      </x:c>
      <x:c r="I159" s="26" t="n">
        <x:f>MAX(G159,C159)</x:f>
        <x:v>-1.412022872308254</x:v>
      </x:c>
      <x:c r="J159" s="26" t="n">
        <x:f>MAX(D159,H159)</x:f>
        <x:v>2.6405384776931324</x:v>
      </x:c>
      <x:c r="K159" s="26" t="n">
        <x:f>MIN(E159,I159)</x:f>
        <x:v>-1.412022872308254</x:v>
      </x:c>
      <x:c r="P159" s="26" t="n">
        <x:v>77</x:v>
      </x:c>
      <x:c r="Q159" s="26" t="n">
        <x:v>2.6405384776931324</x:v>
      </x:c>
      <x:c r="R159" s="26" t="n">
        <x:v>-1.412022872308254</x:v>
      </x:c>
      <x:c r="S159" s="26" t="n">
        <x:v>2.6405384776931324</x:v>
      </x:c>
      <x:c r="T159" s="26" t="n">
        <x:v>-0.8982299249507929</x:v>
      </x:c>
      <x:c r="U159" s="26" t="n">
        <x:v>3.412022872308254</x:v>
      </x:c>
      <x:c r="V159" s="26" t="n">
        <x:v>-1.412022872308254</x:v>
      </x:c>
    </x:row>
    <x:row r="160">
      <x:c r="A160" s="26" t="n">
        <x:v>77.5</x:v>
      </x:c>
      <x:c r="B160" s="26" t="n">
        <x:f>(A160/$N$3)^2</x:f>
        <x:v>2.6749425251550645</x:v>
      </x:c>
      <x:c r="C160" s="26" t="n">
        <x:f>0-(A160/$N$4)^2</x:f>
        <x:v>-2.4052713866221738</x:v>
      </x:c>
      <x:c r="D160" s="26" t="n">
        <x:f>MIN(B160,$N$5)</x:f>
        <x:v>2.6749425251550645</x:v>
      </x:c>
      <x:c r="E160" s="26" t="n">
        <x:f>IF(A160&lt;=$N$7,MAX(C160,$N$6),MAX(C160,$N$6*($N$8-A160)/($N$8-$N$7)))</x:f>
        <x:v>-0.854531613775178</x:v>
      </x:c>
      <x:c r="F160" s="26" t="n">
        <x:f>IF(A160&lt;=$N$7,1+$N$9*A160/$N$7,$N$10+(A160-$N$7)*($N$12-$N$10)/($N$8-$N$7))</x:f>
        <x:v>3.381252621465527</x:v>
      </x:c>
      <x:c r="G160" s="26" t="n">
        <x:f>IF(A160&lt;=$N$7,1-$N$9*A160/$N$7,$N$11+(A160-$N$7)*($N$13-$N$11)/($N$8-$N$7))</x:f>
        <x:v>-1.381252621465527</x:v>
      </x:c>
      <x:c r="H160" s="26" t="n">
        <x:f>MIN(F160,B160)</x:f>
        <x:v>2.6749425251550645</x:v>
      </x:c>
      <x:c r="I160" s="26" t="n">
        <x:f>MAX(G160,C160)</x:f>
        <x:v>-1.381252621465527</x:v>
      </x:c>
      <x:c r="J160" s="26" t="n">
        <x:f>MAX(D160,H160)</x:f>
        <x:v>2.6749425251550645</x:v>
      </x:c>
      <x:c r="K160" s="26" t="n">
        <x:f>MIN(E160,I160)</x:f>
        <x:v>-1.381252621465527</x:v>
      </x:c>
      <x:c r="P160" s="26" t="n">
        <x:v>77.5</x:v>
      </x:c>
      <x:c r="Q160" s="26" t="n">
        <x:v>2.6749425251550645</x:v>
      </x:c>
      <x:c r="R160" s="26" t="n">
        <x:v>-1.3812526214655267</x:v>
      </x:c>
      <x:c r="S160" s="26" t="n">
        <x:v>2.6749425251550645</x:v>
      </x:c>
      <x:c r="T160" s="26" t="n">
        <x:v>-0.854531613775178</x:v>
      </x:c>
      <x:c r="U160" s="26" t="n">
        <x:v>3.381252621465527</x:v>
      </x:c>
      <x:c r="V160" s="26" t="n">
        <x:v>-1.3812526214655267</x:v>
      </x:c>
    </x:row>
    <x:row r="161">
      <x:c r="A161" s="26" t="n">
        <x:v>78</x:v>
      </x:c>
      <x:c r="B161" s="26" t="n">
        <x:f>(A161/$N$3)^2</x:f>
        <x:v>2.7095692525358435</x:v>
      </x:c>
      <x:c r="C161" s="26" t="n">
        <x:f>0-(A161/$N$4)^2</x:f>
        <x:v>-2.436407261803838</x:v>
      </x:c>
      <x:c r="D161" s="26" t="n">
        <x:f>MIN(B161,$N$5)</x:f>
        <x:v>2.7095692525358435</x:v>
      </x:c>
      <x:c r="E161" s="26" t="n">
        <x:f>IF(A161&lt;=$N$7,MAX(C161,$N$6),MAX(C161,$N$6*($N$8-A161)/($N$8-$N$7)))</x:f>
        <x:v>-0.810833302599563</x:v>
      </x:c>
      <x:c r="F161" s="26" t="n">
        <x:f>IF(A161&lt;=$N$7,1+$N$9*A161/$N$7,$N$10+(A161-$N$7)*($N$12-$N$10)/($N$8-$N$7))</x:f>
        <x:v>3.3504823706227995</x:v>
      </x:c>
      <x:c r="G161" s="26" t="n">
        <x:f>IF(A161&lt;=$N$7,1-$N$9*A161/$N$7,$N$11+(A161-$N$7)*($N$13-$N$11)/($N$8-$N$7))</x:f>
        <x:v>-1.3504823706227995</x:v>
      </x:c>
      <x:c r="H161" s="26" t="n">
        <x:f>MIN(F161,B161)</x:f>
        <x:v>2.7095692525358435</x:v>
      </x:c>
      <x:c r="I161" s="26" t="n">
        <x:f>MAX(G161,C161)</x:f>
        <x:v>-1.3504823706227995</x:v>
      </x:c>
      <x:c r="J161" s="26" t="n">
        <x:f>MAX(D161,H161)</x:f>
        <x:v>2.7095692525358435</x:v>
      </x:c>
      <x:c r="K161" s="26" t="n">
        <x:f>MIN(E161,I161)</x:f>
        <x:v>-1.3504823706227995</x:v>
      </x:c>
      <x:c r="P161" s="26" t="n">
        <x:v>78</x:v>
      </x:c>
      <x:c r="Q161" s="26" t="n">
        <x:v>2.7095692525358435</x:v>
      </x:c>
      <x:c r="R161" s="26" t="n">
        <x:v>-1.3504823706227995</x:v>
      </x:c>
      <x:c r="S161" s="26" t="n">
        <x:v>2.7095692525358435</x:v>
      </x:c>
      <x:c r="T161" s="26" t="n">
        <x:v>-0.810833302599563</x:v>
      </x:c>
      <x:c r="U161" s="26" t="n">
        <x:v>3.3504823706227995</x:v>
      </x:c>
      <x:c r="V161" s="26" t="n">
        <x:v>-1.3504823706227995</x:v>
      </x:c>
    </x:row>
    <x:row r="162">
      <x:c r="A162" s="26" t="n">
        <x:v>78.5</x:v>
      </x:c>
      <x:c r="B162" s="26" t="n">
        <x:f>(A162/$N$3)^2</x:f>
        <x:v>2.7444186598354703</x:v>
      </x:c>
      <x:c r="C162" s="26" t="n">
        <x:f>0-(A162/$N$4)^2</x:f>
        <x:v>-2.467743367694067</x:v>
      </x:c>
      <x:c r="D162" s="26" t="n">
        <x:f>MIN(B162,$N$5)</x:f>
        <x:v>2.7444186598354703</x:v>
      </x:c>
      <x:c r="E162" s="26" t="n">
        <x:f>IF(A162&lt;=$N$7,MAX(C162,$N$6),MAX(C162,$N$6*($N$8-A162)/($N$8-$N$7)))</x:f>
        <x:v>-0.7671349914239479</x:v>
      </x:c>
      <x:c r="F162" s="26" t="n">
        <x:f>IF(A162&lt;=$N$7,1+$N$9*A162/$N$7,$N$10+(A162-$N$7)*($N$12-$N$10)/($N$8-$N$7))</x:f>
        <x:v>3.319712119780072</x:v>
      </x:c>
      <x:c r="G162" s="26" t="n">
        <x:f>IF(A162&lt;=$N$7,1-$N$9*A162/$N$7,$N$11+(A162-$N$7)*($N$13-$N$11)/($N$8-$N$7))</x:f>
        <x:v>-1.319712119780072</x:v>
      </x:c>
      <x:c r="H162" s="26" t="n">
        <x:f>MIN(F162,B162)</x:f>
        <x:v>2.7444186598354703</x:v>
      </x:c>
      <x:c r="I162" s="26" t="n">
        <x:f>MAX(G162,C162)</x:f>
        <x:v>-1.319712119780072</x:v>
      </x:c>
      <x:c r="J162" s="26" t="n">
        <x:f>MAX(D162,H162)</x:f>
        <x:v>2.7444186598354703</x:v>
      </x:c>
      <x:c r="K162" s="26" t="n">
        <x:f>MIN(E162,I162)</x:f>
        <x:v>-1.319712119780072</x:v>
      </x:c>
      <x:c r="P162" s="26" t="n">
        <x:v>78.5</x:v>
      </x:c>
      <x:c r="Q162" s="26" t="n">
        <x:v>2.7444186598354703</x:v>
      </x:c>
      <x:c r="R162" s="26" t="n">
        <x:v>-1.319712119780072</x:v>
      </x:c>
      <x:c r="S162" s="26" t="n">
        <x:v>2.7444186598354703</x:v>
      </x:c>
      <x:c r="T162" s="26" t="n">
        <x:v>-0.7671349914239479</x:v>
      </x:c>
      <x:c r="U162" s="26" t="n">
        <x:v>3.319712119780072</x:v>
      </x:c>
      <x:c r="V162" s="26" t="n">
        <x:v>-1.319712119780072</x:v>
      </x:c>
    </x:row>
    <x:row r="163">
      <x:c r="A163" s="26" t="n">
        <x:v>79</x:v>
      </x:c>
      <x:c r="B163" s="26" t="n">
        <x:f>(A163/$N$3)^2</x:f>
        <x:v>2.779490747053945</x:v>
      </x:c>
      <x:c r="C163" s="26" t="n">
        <x:f>0-(A163/$N$4)^2</x:f>
        <x:v>-2.4992797042928596</x:v>
      </x:c>
      <x:c r="D163" s="26" t="n">
        <x:f>MIN(B163,$N$5)</x:f>
        <x:v>2.779490747053945</x:v>
      </x:c>
      <x:c r="E163" s="26" t="n">
        <x:f>IF(A163&lt;=$N$7,MAX(C163,$N$6),MAX(C163,$N$6*($N$8-A163)/($N$8-$N$7)))</x:f>
        <x:v>-0.723436680248333</x:v>
      </x:c>
      <x:c r="F163" s="26" t="n">
        <x:f>IF(A163&lt;=$N$7,1+$N$9*A163/$N$7,$N$10+(A163-$N$7)*($N$12-$N$10)/($N$8-$N$7))</x:f>
        <x:v>3.288941868937345</x:v>
      </x:c>
      <x:c r="G163" s="26" t="n">
        <x:f>IF(A163&lt;=$N$7,1-$N$9*A163/$N$7,$N$11+(A163-$N$7)*($N$13-$N$11)/($N$8-$N$7))</x:f>
        <x:v>-1.288941868937345</x:v>
      </x:c>
      <x:c r="H163" s="26" t="n">
        <x:f>MIN(F163,B163)</x:f>
        <x:v>2.779490747053945</x:v>
      </x:c>
      <x:c r="I163" s="26" t="n">
        <x:f>MAX(G163,C163)</x:f>
        <x:v>-1.288941868937345</x:v>
      </x:c>
      <x:c r="J163" s="26" t="n">
        <x:f>MAX(D163,H163)</x:f>
        <x:v>2.779490747053945</x:v>
      </x:c>
      <x:c r="K163" s="26" t="n">
        <x:f>MIN(E163,I163)</x:f>
        <x:v>-1.288941868937345</x:v>
      </x:c>
      <x:c r="P163" s="26" t="n">
        <x:v>79</x:v>
      </x:c>
      <x:c r="Q163" s="26" t="n">
        <x:v>2.779490747053945</x:v>
      </x:c>
      <x:c r="R163" s="26" t="n">
        <x:v>-1.288941868937345</x:v>
      </x:c>
      <x:c r="S163" s="26" t="n">
        <x:v>2.779490747053945</x:v>
      </x:c>
      <x:c r="T163" s="26" t="n">
        <x:v>-0.723436680248333</x:v>
      </x:c>
      <x:c r="U163" s="26" t="n">
        <x:v>3.288941868937345</x:v>
      </x:c>
      <x:c r="V163" s="26" t="n">
        <x:v>-1.288941868937345</x:v>
      </x:c>
    </x:row>
    <x:row r="164">
      <x:c r="A164" s="26" t="n">
        <x:v>79.5</x:v>
      </x:c>
      <x:c r="B164" s="26" t="n">
        <x:f>(A164/$N$3)^2</x:f>
        <x:v>2.814785514191267</x:v>
      </x:c>
      <x:c r="C164" s="26" t="n">
        <x:f>0-(A164/$N$4)^2</x:f>
        <x:v>-2.5310162716002154</x:v>
      </x:c>
      <x:c r="D164" s="26" t="n">
        <x:f>MIN(B164,$N$5)</x:f>
        <x:v>2.814785514191267</x:v>
      </x:c>
      <x:c r="E164" s="26" t="n">
        <x:f>IF(A164&lt;=$N$7,MAX(C164,$N$6),MAX(C164,$N$6*($N$8-A164)/($N$8-$N$7)))</x:f>
        <x:v>-0.6797383690727179</x:v>
      </x:c>
      <x:c r="F164" s="26" t="n">
        <x:f>IF(A164&lt;=$N$7,1+$N$9*A164/$N$7,$N$10+(A164-$N$7)*($N$12-$N$10)/($N$8-$N$7))</x:f>
        <x:v>3.258171618094618</x:v>
      </x:c>
      <x:c r="G164" s="26" t="n">
        <x:f>IF(A164&lt;=$N$7,1-$N$9*A164/$N$7,$N$11+(A164-$N$7)*($N$13-$N$11)/($N$8-$N$7))</x:f>
        <x:v>-1.2581716180946176</x:v>
      </x:c>
      <x:c r="H164" s="26" t="n">
        <x:f>MIN(F164,B164)</x:f>
        <x:v>2.814785514191267</x:v>
      </x:c>
      <x:c r="I164" s="26" t="n">
        <x:f>MAX(G164,C164)</x:f>
        <x:v>-1.2581716180946176</x:v>
      </x:c>
      <x:c r="J164" s="26" t="n">
        <x:f>MAX(D164,H164)</x:f>
        <x:v>2.814785514191267</x:v>
      </x:c>
      <x:c r="K164" s="26" t="n">
        <x:f>MIN(E164,I164)</x:f>
        <x:v>-1.2581716180946176</x:v>
      </x:c>
      <x:c r="P164" s="26" t="n">
        <x:v>79.5</x:v>
      </x:c>
      <x:c r="Q164" s="26" t="n">
        <x:v>2.814785514191267</x:v>
      </x:c>
      <x:c r="R164" s="26" t="n">
        <x:v>-1.2581716180946176</x:v>
      </x:c>
      <x:c r="S164" s="26" t="n">
        <x:v>2.814785514191267</x:v>
      </x:c>
      <x:c r="T164" s="26" t="n">
        <x:v>-0.6797383690727179</x:v>
      </x:c>
      <x:c r="U164" s="26" t="n">
        <x:v>3.258171618094618</x:v>
      </x:c>
      <x:c r="V164" s="26" t="n">
        <x:v>-1.2581716180946176</x:v>
      </x:c>
    </x:row>
    <x:row r="165">
      <x:c r="A165" s="26" t="n">
        <x:v>80</x:v>
      </x:c>
      <x:c r="B165" s="26" t="n">
        <x:f>(A165/$N$3)^2</x:f>
        <x:v>2.8503029612474355</x:v>
      </x:c>
      <x:c r="C165" s="26" t="n">
        <x:f>0-(A165/$N$4)^2</x:f>
        <x:v>-2.5629530696161353</x:v>
      </x:c>
      <x:c r="D165" s="26" t="n">
        <x:f>MIN(B165,$N$5)</x:f>
        <x:v>2.8503029612474355</x:v>
      </x:c>
      <x:c r="E165" s="26" t="n">
        <x:f>IF(A165&lt;=$N$7,MAX(C165,$N$6),MAX(C165,$N$6*($N$8-A165)/($N$8-$N$7)))</x:f>
        <x:v>-0.6360400578971028</x:v>
      </x:c>
      <x:c r="F165" s="26" t="n">
        <x:f>IF(A165&lt;=$N$7,1+$N$9*A165/$N$7,$N$10+(A165-$N$7)*($N$12-$N$10)/($N$8-$N$7))</x:f>
        <x:v>3.2274013672518906</x:v>
      </x:c>
      <x:c r="G165" s="26" t="n">
        <x:f>IF(A165&lt;=$N$7,1-$N$9*A165/$N$7,$N$11+(A165-$N$7)*($N$13-$N$11)/($N$8-$N$7))</x:f>
        <x:v>-1.2274013672518906</x:v>
      </x:c>
      <x:c r="H165" s="26" t="n">
        <x:f>MIN(F165,B165)</x:f>
        <x:v>2.8503029612474355</x:v>
      </x:c>
      <x:c r="I165" s="26" t="n">
        <x:f>MAX(G165,C165)</x:f>
        <x:v>-1.2274013672518906</x:v>
      </x:c>
      <x:c r="J165" s="26" t="n">
        <x:f>MAX(D165,H165)</x:f>
        <x:v>2.8503029612474355</x:v>
      </x:c>
      <x:c r="K165" s="26" t="n">
        <x:f>MIN(E165,I165)</x:f>
        <x:v>-1.2274013672518906</x:v>
      </x:c>
      <x:c r="P165" s="26" t="n">
        <x:v>80</x:v>
      </x:c>
      <x:c r="Q165" s="26" t="n">
        <x:v>2.8503029612474355</x:v>
      </x:c>
      <x:c r="R165" s="26" t="n">
        <x:v>-1.2274013672518906</x:v>
      </x:c>
      <x:c r="S165" s="26" t="n">
        <x:v>2.8503029612474355</x:v>
      </x:c>
      <x:c r="T165" s="26" t="n">
        <x:v>-0.6360400578971028</x:v>
      </x:c>
      <x:c r="U165" s="26" t="n">
        <x:v>3.2274013672518906</x:v>
      </x:c>
      <x:c r="V165" s="26" t="n">
        <x:v>-1.2274013672518906</x:v>
      </x:c>
    </x:row>
    <x:row r="166">
      <x:c r="A166" s="26" t="n">
        <x:v>80.5</x:v>
      </x:c>
      <x:c r="B166" s="26" t="n">
        <x:f>(A166/$N$3)^2</x:f>
        <x:v>2.8860430882224524</x:v>
      </x:c>
      <x:c r="C166" s="26" t="n">
        <x:f>0-(A166/$N$4)^2</x:f>
        <x:v>-2.5950900983406187</x:v>
      </x:c>
      <x:c r="D166" s="26" t="n">
        <x:f>MIN(B166,$N$5)</x:f>
        <x:v>2.8860430882224524</x:v>
      </x:c>
      <x:c r="E166" s="26" t="n">
        <x:f>IF(A166&lt;=$N$7,MAX(C166,$N$6),MAX(C166,$N$6*($N$8-A166)/($N$8-$N$7)))</x:f>
        <x:v>-0.5923417467214879</x:v>
      </x:c>
      <x:c r="F166" s="26" t="n">
        <x:f>IF(A166&lt;=$N$7,1+$N$9*A166/$N$7,$N$10+(A166-$N$7)*($N$12-$N$10)/($N$8-$N$7))</x:f>
        <x:v>3.196631116409163</x:v>
      </x:c>
      <x:c r="G166" s="26" t="n">
        <x:f>IF(A166&lt;=$N$7,1-$N$9*A166/$N$7,$N$11+(A166-$N$7)*($N$13-$N$11)/($N$8-$N$7))</x:f>
        <x:v>-1.1966311164091632</x:v>
      </x:c>
      <x:c r="H166" s="26" t="n">
        <x:f>MIN(F166,B166)</x:f>
        <x:v>2.8860430882224524</x:v>
      </x:c>
      <x:c r="I166" s="26" t="n">
        <x:f>MAX(G166,C166)</x:f>
        <x:v>-1.1966311164091632</x:v>
      </x:c>
      <x:c r="J166" s="26" t="n">
        <x:f>MAX(D166,H166)</x:f>
        <x:v>2.8860430882224524</x:v>
      </x:c>
      <x:c r="K166" s="26" t="n">
        <x:f>MIN(E166,I166)</x:f>
        <x:v>-1.1966311164091632</x:v>
      </x:c>
      <x:c r="P166" s="26" t="n">
        <x:v>80.5</x:v>
      </x:c>
      <x:c r="Q166" s="26" t="n">
        <x:v>2.8860430882224524</x:v>
      </x:c>
      <x:c r="R166" s="26" t="n">
        <x:v>-1.1966311164091632</x:v>
      </x:c>
      <x:c r="S166" s="26" t="n">
        <x:v>2.8860430882224524</x:v>
      </x:c>
      <x:c r="T166" s="26" t="n">
        <x:v>-0.5923417467214879</x:v>
      </x:c>
      <x:c r="U166" s="26" t="n">
        <x:v>3.196631116409163</x:v>
      </x:c>
      <x:c r="V166" s="26" t="n">
        <x:v>-1.1966311164091632</x:v>
      </x:c>
    </x:row>
    <x:row r="167">
      <x:c r="A167" s="26" t="n">
        <x:v>81</x:v>
      </x:c>
      <x:c r="B167" s="26" t="n">
        <x:f>(A167/$N$3)^2</x:f>
        <x:v>2.9220058951163166</x:v>
      </x:c>
      <x:c r="C167" s="26" t="n">
        <x:f>0-(A167/$N$4)^2</x:f>
        <x:v>-2.6274273577736658</x:v>
      </x:c>
      <x:c r="D167" s="26" t="n">
        <x:f>MIN(B167,$N$5)</x:f>
        <x:v>2.9220058951163166</x:v>
      </x:c>
      <x:c r="E167" s="26" t="n">
        <x:f>IF(A167&lt;=$N$7,MAX(C167,$N$6),MAX(C167,$N$6*($N$8-A167)/($N$8-$N$7)))</x:f>
        <x:v>-0.5486434355458728</x:v>
      </x:c>
      <x:c r="F167" s="26" t="n">
        <x:f>IF(A167&lt;=$N$7,1+$N$9*A167/$N$7,$N$10+(A167-$N$7)*($N$12-$N$10)/($N$8-$N$7))</x:f>
        <x:v>3.165860865566436</x:v>
      </x:c>
      <x:c r="G167" s="26" t="n">
        <x:f>IF(A167&lt;=$N$7,1-$N$9*A167/$N$7,$N$11+(A167-$N$7)*($N$13-$N$11)/($N$8-$N$7))</x:f>
        <x:v>-1.165860865566436</x:v>
      </x:c>
      <x:c r="H167" s="26" t="n">
        <x:f>MIN(F167,B167)</x:f>
        <x:v>2.9220058951163166</x:v>
      </x:c>
      <x:c r="I167" s="26" t="n">
        <x:f>MAX(G167,C167)</x:f>
        <x:v>-1.165860865566436</x:v>
      </x:c>
      <x:c r="J167" s="26" t="n">
        <x:f>MAX(D167,H167)</x:f>
        <x:v>2.9220058951163166</x:v>
      </x:c>
      <x:c r="K167" s="26" t="n">
        <x:f>MIN(E167,I167)</x:f>
        <x:v>-1.165860865566436</x:v>
      </x:c>
      <x:c r="P167" s="26" t="n">
        <x:v>81</x:v>
      </x:c>
      <x:c r="Q167" s="26" t="n">
        <x:v>2.9220058951163166</x:v>
      </x:c>
      <x:c r="R167" s="26" t="n">
        <x:v>-1.165860865566436</x:v>
      </x:c>
      <x:c r="S167" s="26" t="n">
        <x:v>2.9220058951163166</x:v>
      </x:c>
      <x:c r="T167" s="26" t="n">
        <x:v>-0.5486434355458728</x:v>
      </x:c>
      <x:c r="U167" s="26" t="n">
        <x:v>3.165860865566436</x:v>
      </x:c>
      <x:c r="V167" s="26" t="n">
        <x:v>-1.165860865566436</x:v>
      </x:c>
    </x:row>
    <x:row r="168">
      <x:c r="A168" s="26" t="n">
        <x:v>81.5</x:v>
      </x:c>
      <x:c r="B168" s="26" t="n">
        <x:f>(A168/$N$3)^2</x:f>
        <x:v>2.9581913819290286</x:v>
      </x:c>
      <x:c r="C168" s="26" t="n">
        <x:f>0-(A168/$N$4)^2</x:f>
        <x:v>-2.6599648479152775</x:v>
      </x:c>
      <x:c r="D168" s="26" t="n">
        <x:f>MIN(B168,$N$5)</x:f>
        <x:v>2.9581913819290286</x:v>
      </x:c>
      <x:c r="E168" s="26" t="n">
        <x:f>IF(A168&lt;=$N$7,MAX(C168,$N$6),MAX(C168,$N$6*($N$8-A168)/($N$8-$N$7)))</x:f>
        <x:v>-0.5049451243702578</x:v>
      </x:c>
      <x:c r="F168" s="26" t="n">
        <x:f>IF(A168&lt;=$N$7,1+$N$9*A168/$N$7,$N$10+(A168-$N$7)*($N$12-$N$10)/($N$8-$N$7))</x:f>
        <x:v>3.1350906147237088</x:v>
      </x:c>
      <x:c r="G168" s="26" t="n">
        <x:f>IF(A168&lt;=$N$7,1-$N$9*A168/$N$7,$N$11+(A168-$N$7)*($N$13-$N$11)/($N$8-$N$7))</x:f>
        <x:v>-1.1350906147237088</x:v>
      </x:c>
      <x:c r="H168" s="26" t="n">
        <x:f>MIN(F168,B168)</x:f>
        <x:v>2.9581913819290286</x:v>
      </x:c>
      <x:c r="I168" s="26" t="n">
        <x:f>MAX(G168,C168)</x:f>
        <x:v>-1.1350906147237088</x:v>
      </x:c>
      <x:c r="J168" s="26" t="n">
        <x:f>MAX(D168,H168)</x:f>
        <x:v>2.9581913819290286</x:v>
      </x:c>
      <x:c r="K168" s="26" t="n">
        <x:f>MIN(E168,I168)</x:f>
        <x:v>-1.1350906147237088</x:v>
      </x:c>
      <x:c r="P168" s="26" t="n">
        <x:v>81.5</x:v>
      </x:c>
      <x:c r="Q168" s="26" t="n">
        <x:v>2.9581913819290286</x:v>
      </x:c>
      <x:c r="R168" s="26" t="n">
        <x:v>-1.1350906147237088</x:v>
      </x:c>
      <x:c r="S168" s="26" t="n">
        <x:v>2.9581913819290286</x:v>
      </x:c>
      <x:c r="T168" s="26" t="n">
        <x:v>-0.5049451243702578</x:v>
      </x:c>
      <x:c r="U168" s="26" t="n">
        <x:v>3.1350906147237088</x:v>
      </x:c>
      <x:c r="V168" s="26" t="n">
        <x:v>-1.1350906147237088</x:v>
      </x:c>
    </x:row>
    <x:row r="169">
      <x:c r="A169" s="26" t="n">
        <x:v>82</x:v>
      </x:c>
      <x:c r="B169" s="26" t="n">
        <x:f>(A169/$N$3)^2</x:f>
        <x:v>2.994599548660587</x:v>
      </x:c>
      <x:c r="C169" s="26" t="n">
        <x:f>0-(A169/$N$4)^2</x:f>
        <x:v>-2.692702568765452</x:v>
      </x:c>
      <x:c r="D169" s="26" t="n">
        <x:f>MIN(B169,$N$5)</x:f>
        <x:v>2.994599548660587</x:v>
      </x:c>
      <x:c r="E169" s="26" t="n">
        <x:f>IF(A169&lt;=$N$7,MAX(C169,$N$6),MAX(C169,$N$6*($N$8-A169)/($N$8-$N$7)))</x:f>
        <x:v>-0.46124681319464284</x:v>
      </x:c>
      <x:c r="F169" s="26" t="n">
        <x:f>IF(A169&lt;=$N$7,1+$N$9*A169/$N$7,$N$10+(A169-$N$7)*($N$12-$N$10)/($N$8-$N$7))</x:f>
        <x:v>3.1043203638809818</x:v>
      </x:c>
      <x:c r="G169" s="26" t="n">
        <x:f>IF(A169&lt;=$N$7,1-$N$9*A169/$N$7,$N$11+(A169-$N$7)*($N$13-$N$11)/($N$8-$N$7))</x:f>
        <x:v>-1.1043203638809815</x:v>
      </x:c>
      <x:c r="H169" s="26" t="n">
        <x:f>MIN(F169,B169)</x:f>
        <x:v>2.994599548660587</x:v>
      </x:c>
      <x:c r="I169" s="26" t="n">
        <x:f>MAX(G169,C169)</x:f>
        <x:v>-1.1043203638809815</x:v>
      </x:c>
      <x:c r="J169" s="26" t="n">
        <x:f>MAX(D169,H169)</x:f>
        <x:v>2.994599548660587</x:v>
      </x:c>
      <x:c r="K169" s="26" t="n">
        <x:f>MIN(E169,I169)</x:f>
        <x:v>-1.1043203638809815</x:v>
      </x:c>
      <x:c r="P169" s="26" t="n">
        <x:v>82</x:v>
      </x:c>
      <x:c r="Q169" s="26" t="n">
        <x:v>2.994599548660587</x:v>
      </x:c>
      <x:c r="R169" s="26" t="n">
        <x:v>-1.1043203638809815</x:v>
      </x:c>
      <x:c r="S169" s="26" t="n">
        <x:v>2.994599548660587</x:v>
      </x:c>
      <x:c r="T169" s="26" t="n">
        <x:v>-0.46124681319464284</x:v>
      </x:c>
      <x:c r="U169" s="26" t="n">
        <x:v>3.1043203638809818</x:v>
      </x:c>
      <x:c r="V169" s="26" t="n">
        <x:v>-1.1043203638809815</x:v>
      </x:c>
    </x:row>
    <x:row r="170">
      <x:c r="A170" s="26" t="n">
        <x:v>82.5</x:v>
      </x:c>
      <x:c r="B170" s="26" t="n">
        <x:f>(A170/$N$3)^2</x:f>
        <x:v>3.0312303953109936</x:v>
      </x:c>
      <x:c r="C170" s="26" t="n">
        <x:f>0-(A170/$N$4)^2</x:f>
        <x:v>-2.7256405203241907</x:v>
      </x:c>
      <x:c r="D170" s="26" t="n">
        <x:f>MIN(B170,$N$5)</x:f>
        <x:v>3.0312303953109936</x:v>
      </x:c>
      <x:c r="E170" s="26" t="n">
        <x:f>IF(A170&lt;=$N$7,MAX(C170,$N$6),MAX(C170,$N$6*($N$8-A170)/($N$8-$N$7)))</x:f>
        <x:v>-0.4175485020190279</x:v>
      </x:c>
      <x:c r="F170" s="26" t="n">
        <x:f>IF(A170&lt;=$N$7,1+$N$9*A170/$N$7,$N$10+(A170-$N$7)*($N$12-$N$10)/($N$8-$N$7))</x:f>
        <x:v>3.0735501130382543</x:v>
      </x:c>
      <x:c r="G170" s="26" t="n">
        <x:f>IF(A170&lt;=$N$7,1-$N$9*A170/$N$7,$N$11+(A170-$N$7)*($N$13-$N$11)/($N$8-$N$7))</x:f>
        <x:v>-1.0735501130382543</x:v>
      </x:c>
      <x:c r="H170" s="26" t="n">
        <x:f>MIN(F170,B170)</x:f>
        <x:v>3.0312303953109936</x:v>
      </x:c>
      <x:c r="I170" s="26" t="n">
        <x:f>MAX(G170,C170)</x:f>
        <x:v>-1.0735501130382543</x:v>
      </x:c>
      <x:c r="J170" s="26" t="n">
        <x:f>MAX(D170,H170)</x:f>
        <x:v>3.0312303953109936</x:v>
      </x:c>
      <x:c r="K170" s="26" t="n">
        <x:f>MIN(E170,I170)</x:f>
        <x:v>-1.0735501130382543</x:v>
      </x:c>
      <x:c r="P170" s="26" t="n">
        <x:v>82.5</x:v>
      </x:c>
      <x:c r="Q170" s="26" t="n">
        <x:v>3.0312303953109936</x:v>
      </x:c>
      <x:c r="R170" s="26" t="n">
        <x:v>-1.0735501130382543</x:v>
      </x:c>
      <x:c r="S170" s="26" t="n">
        <x:v>3.0312303953109936</x:v>
      </x:c>
      <x:c r="T170" s="26" t="n">
        <x:v>-0.4175485020190279</x:v>
      </x:c>
      <x:c r="U170" s="26" t="n">
        <x:v>3.0735501130382543</x:v>
      </x:c>
      <x:c r="V170" s="26" t="n">
        <x:v>-1.0735501130382543</x:v>
      </x:c>
    </x:row>
    <x:row r="171">
      <x:c r="A171" s="26" t="n">
        <x:v>83</x:v>
      </x:c>
      <x:c r="B171" s="26" t="n">
        <x:f>(A171/$N$3)^2</x:f>
        <x:v>3.068083921880248</x:v>
      </x:c>
      <x:c r="C171" s="26" t="n">
        <x:f>0-(A171/$N$4)^2</x:f>
        <x:v>-2.7587787025914934</x:v>
      </x:c>
      <x:c r="D171" s="26" t="n">
        <x:f>MIN(B171,$N$5)</x:f>
        <x:v>3.068083921880248</x:v>
      </x:c>
      <x:c r="E171" s="26" t="n">
        <x:f>IF(A171&lt;=$N$7,MAX(C171,$N$6),MAX(C171,$N$6*($N$8-A171)/($N$8-$N$7)))</x:f>
        <x:v>-0.3738501908434128</x:v>
      </x:c>
      <x:c r="F171" s="26" t="n">
        <x:f>IF(A171&lt;=$N$7,1+$N$9*A171/$N$7,$N$10+(A171-$N$7)*($N$12-$N$10)/($N$8-$N$7))</x:f>
        <x:v>3.042779862195527</x:v>
      </x:c>
      <x:c r="G171" s="26" t="n">
        <x:f>IF(A171&lt;=$N$7,1-$N$9*A171/$N$7,$N$11+(A171-$N$7)*($N$13-$N$11)/($N$8-$N$7))</x:f>
        <x:v>-1.0427798621955269</x:v>
      </x:c>
      <x:c r="H171" s="26" t="n">
        <x:f>MIN(F171,B171)</x:f>
        <x:v>3.042779862195527</x:v>
      </x:c>
      <x:c r="I171" s="26" t="n">
        <x:f>MAX(G171,C171)</x:f>
        <x:v>-1.0427798621955269</x:v>
      </x:c>
      <x:c r="J171" s="26" t="n">
        <x:f>MAX(D171,H171)</x:f>
        <x:v>3.068083921880248</x:v>
      </x:c>
      <x:c r="K171" s="26" t="n">
        <x:f>MIN(E171,I171)</x:f>
        <x:v>-1.0427798621955269</x:v>
      </x:c>
      <x:c r="P171" s="26" t="n">
        <x:v>83</x:v>
      </x:c>
      <x:c r="Q171" s="26" t="n">
        <x:v>3.068083921880248</x:v>
      </x:c>
      <x:c r="R171" s="26" t="n">
        <x:v>-1.0427798621955269</x:v>
      </x:c>
      <x:c r="S171" s="26" t="n">
        <x:v>3.068083921880248</x:v>
      </x:c>
      <x:c r="T171" s="26" t="n">
        <x:v>-0.3738501908434128</x:v>
      </x:c>
      <x:c r="U171" s="26" t="n">
        <x:v>3.0427798621955273</x:v>
      </x:c>
      <x:c r="V171" s="26" t="n">
        <x:v>-1.0427798621955269</x:v>
      </x:c>
    </x:row>
    <x:row r="172">
      <x:c r="A172" s="26" t="n">
        <x:v>83.5</x:v>
      </x:c>
      <x:c r="B172" s="26" t="n">
        <x:f>(A172/$N$3)^2</x:f>
        <x:v>3.1051601283683485</x:v>
      </x:c>
      <x:c r="C172" s="26" t="n">
        <x:f>0-(A172/$N$4)^2</x:f>
        <x:v>-2.7921171155673594</x:v>
      </x:c>
      <x:c r="D172" s="26" t="n">
        <x:f>MIN(B172,$N$5)</x:f>
        <x:v>3.1051601283683485</x:v>
      </x:c>
      <x:c r="E172" s="26" t="n">
        <x:f>IF(A172&lt;=$N$7,MAX(C172,$N$6),MAX(C172,$N$6*($N$8-A172)/($N$8-$N$7)))</x:f>
        <x:v>-0.3301518796677978</x:v>
      </x:c>
      <x:c r="F172" s="26" t="n">
        <x:f>IF(A172&lt;=$N$7,1+$N$9*A172/$N$7,$N$10+(A172-$N$7)*($N$12-$N$10)/($N$8-$N$7))</x:f>
        <x:v>3.0120096113528</x:v>
      </x:c>
      <x:c r="G172" s="26" t="n">
        <x:f>IF(A172&lt;=$N$7,1-$N$9*A172/$N$7,$N$11+(A172-$N$7)*($N$13-$N$11)/($N$8-$N$7))</x:f>
        <x:v>-1.0120096113527999</x:v>
      </x:c>
      <x:c r="H172" s="26" t="n">
        <x:f>MIN(F172,B172)</x:f>
        <x:v>3.0120096113528</x:v>
      </x:c>
      <x:c r="I172" s="26" t="n">
        <x:f>MAX(G172,C172)</x:f>
        <x:v>-1.0120096113527999</x:v>
      </x:c>
      <x:c r="J172" s="26" t="n">
        <x:f>MAX(D172,H172)</x:f>
        <x:v>3.1051601283683485</x:v>
      </x:c>
      <x:c r="K172" s="26" t="n">
        <x:f>MIN(E172,I172)</x:f>
        <x:v>-1.0120096113527999</x:v>
      </x:c>
      <x:c r="P172" s="26" t="n">
        <x:v>83.5</x:v>
      </x:c>
      <x:c r="Q172" s="26" t="n">
        <x:v>3.1051601283683485</x:v>
      </x:c>
      <x:c r="R172" s="26" t="n">
        <x:v>-1.0120096113527999</x:v>
      </x:c>
      <x:c r="S172" s="26" t="n">
        <x:v>3.1051601283683485</x:v>
      </x:c>
      <x:c r="T172" s="26" t="n">
        <x:v>-0.3301518796677978</x:v>
      </x:c>
      <x:c r="U172" s="26" t="n">
        <x:v>3.0120096113528</x:v>
      </x:c>
      <x:c r="V172" s="26" t="n">
        <x:v>-1.0120096113527999</x:v>
      </x:c>
    </x:row>
    <x:row r="173">
      <x:c r="A173" s="26" t="n">
        <x:v>84</x:v>
      </x:c>
      <x:c r="B173" s="26" t="n">
        <x:f>(A173/$N$3)^2</x:f>
        <x:v>3.142459014775298</x:v>
      </x:c>
      <x:c r="C173" s="26" t="n">
        <x:f>0-(A173/$N$4)^2</x:f>
        <x:v>-2.825655759251789</x:v>
      </x:c>
      <x:c r="D173" s="26" t="n">
        <x:f>MIN(B173,$N$5)</x:f>
        <x:v>3.142459014775298</x:v>
      </x:c>
      <x:c r="E173" s="26" t="n">
        <x:f>IF(A173&lt;=$N$7,MAX(C173,$N$6),MAX(C173,$N$6*($N$8-A173)/($N$8-$N$7)))</x:f>
        <x:v>-0.28645356849218284</x:v>
      </x:c>
      <x:c r="F173" s="26" t="n">
        <x:f>IF(A173&lt;=$N$7,1+$N$9*A173/$N$7,$N$10+(A173-$N$7)*($N$12-$N$10)/($N$8-$N$7))</x:f>
        <x:v>2.981239360510073</x:v>
      </x:c>
      <x:c r="G173" s="26" t="n">
        <x:f>IF(A173&lt;=$N$7,1-$N$9*A173/$N$7,$N$11+(A173-$N$7)*($N$13-$N$11)/($N$8-$N$7))</x:f>
        <x:v>-0.9812393605100725</x:v>
      </x:c>
      <x:c r="H173" s="26" t="n">
        <x:f>MIN(F173,B173)</x:f>
        <x:v>2.981239360510073</x:v>
      </x:c>
      <x:c r="I173" s="26" t="n">
        <x:f>MAX(G173,C173)</x:f>
        <x:v>-0.9812393605100725</x:v>
      </x:c>
      <x:c r="J173" s="26" t="n">
        <x:f>MAX(D173,H173)</x:f>
        <x:v>3.142459014775298</x:v>
      </x:c>
      <x:c r="K173" s="26" t="n">
        <x:f>MIN(E173,I173)</x:f>
        <x:v>-0.9812393605100725</x:v>
      </x:c>
      <x:c r="P173" s="26" t="n">
        <x:v>84</x:v>
      </x:c>
      <x:c r="Q173" s="26" t="n">
        <x:v>3.142459014775298</x:v>
      </x:c>
      <x:c r="R173" s="26" t="n">
        <x:v>-0.9812393605100724</x:v>
      </x:c>
      <x:c r="S173" s="26" t="n">
        <x:v>3.142459014775298</x:v>
      </x:c>
      <x:c r="T173" s="26" t="n">
        <x:v>-0.28645356849218284</x:v>
      </x:c>
      <x:c r="U173" s="26" t="n">
        <x:v>2.981239360510073</x:v>
      </x:c>
      <x:c r="V173" s="26" t="n">
        <x:v>-0.9812393605100724</x:v>
      </x:c>
    </x:row>
    <x:row r="174">
      <x:c r="A174" s="26" t="n">
        <x:v>84.5</x:v>
      </x:c>
      <x:c r="B174" s="26" t="n">
        <x:f>(A174/$N$3)^2</x:f>
        <x:v>3.1799805811010944</x:v>
      </x:c>
      <x:c r="C174" s="26" t="n">
        <x:f>0-(A174/$N$4)^2</x:f>
        <x:v>-2.8593946336447824</x:v>
      </x:c>
      <x:c r="D174" s="26" t="n">
        <x:f>MIN(B174,$N$5)</x:f>
        <x:v>3.1799805811010944</x:v>
      </x:c>
      <x:c r="E174" s="26" t="n">
        <x:f>IF(A174&lt;=$N$7,MAX(C174,$N$6),MAX(C174,$N$6*($N$8-A174)/($N$8-$N$7)))</x:f>
        <x:v>-0.24275525731656783</x:v>
      </x:c>
      <x:c r="F174" s="26" t="n">
        <x:f>IF(A174&lt;=$N$7,1+$N$9*A174/$N$7,$N$10+(A174-$N$7)*($N$12-$N$10)/($N$8-$N$7))</x:f>
        <x:v>2.9504691096673454</x:v>
      </x:c>
      <x:c r="G174" s="26" t="n">
        <x:f>IF(A174&lt;=$N$7,1-$N$9*A174/$N$7,$N$11+(A174-$N$7)*($N$13-$N$11)/($N$8-$N$7))</x:f>
        <x:v>-0.9504691096673452</x:v>
      </x:c>
      <x:c r="H174" s="26" t="n">
        <x:f>MIN(F174,B174)</x:f>
        <x:v>2.9504691096673454</x:v>
      </x:c>
      <x:c r="I174" s="26" t="n">
        <x:f>MAX(G174,C174)</x:f>
        <x:v>-0.9504691096673452</x:v>
      </x:c>
      <x:c r="J174" s="26" t="n">
        <x:f>MAX(D174,H174)</x:f>
        <x:v>3.1799805811010944</x:v>
      </x:c>
      <x:c r="K174" s="26" t="n">
        <x:f>MIN(E174,I174)</x:f>
        <x:v>-0.9504691096673452</x:v>
      </x:c>
      <x:c r="P174" s="26" t="n">
        <x:v>84.5</x:v>
      </x:c>
      <x:c r="Q174" s="26" t="n">
        <x:v>3.1799805811010944</x:v>
      </x:c>
      <x:c r="R174" s="26" t="n">
        <x:v>-0.9504691096673452</x:v>
      </x:c>
      <x:c r="S174" s="26" t="n">
        <x:v>3.1799805811010944</x:v>
      </x:c>
      <x:c r="T174" s="26" t="n">
        <x:v>-0.24275525731656783</x:v>
      </x:c>
      <x:c r="U174" s="26" t="n">
        <x:v>2.9504691096673454</x:v>
      </x:c>
      <x:c r="V174" s="26" t="n">
        <x:v>-0.9504691096673452</x:v>
      </x:c>
    </x:row>
    <x:row r="175">
      <x:c r="A175" s="26" t="n">
        <x:v>85</x:v>
      </x:c>
      <x:c r="B175" s="26" t="n">
        <x:f>(A175/$N$3)^2</x:f>
        <x:v>3.217724827345738</x:v>
      </x:c>
      <x:c r="C175" s="26" t="n">
        <x:f>0-(A175/$N$4)^2</x:f>
        <x:v>-2.8933337387463403</x:v>
      </x:c>
      <x:c r="D175" s="26" t="n">
        <x:f>MIN(B175,$N$5)</x:f>
        <x:v>3.217724827345738</x:v>
      </x:c>
      <x:c r="E175" s="26" t="n">
        <x:f>IF(A175&lt;=$N$7,MAX(C175,$N$6),MAX(C175,$N$6*($N$8-A175)/($N$8-$N$7)))</x:f>
        <x:v>-0.19905694614095282</x:v>
      </x:c>
      <x:c r="F175" s="26" t="n">
        <x:f>IF(A175&lt;=$N$7,1+$N$9*A175/$N$7,$N$10+(A175-$N$7)*($N$12-$N$10)/($N$8-$N$7))</x:f>
        <x:v>2.919698858824618</x:v>
      </x:c>
      <x:c r="G175" s="26" t="n">
        <x:f>IF(A175&lt;=$N$7,1-$N$9*A175/$N$7,$N$11+(A175-$N$7)*($N$13-$N$11)/($N$8-$N$7))</x:f>
        <x:v>-0.9196988588246179</x:v>
      </x:c>
      <x:c r="H175" s="26" t="n">
        <x:f>MIN(F175,B175)</x:f>
        <x:v>2.919698858824618</x:v>
      </x:c>
      <x:c r="I175" s="26" t="n">
        <x:f>MAX(G175,C175)</x:f>
        <x:v>-0.9196988588246179</x:v>
      </x:c>
      <x:c r="J175" s="26" t="n">
        <x:f>MAX(D175,H175)</x:f>
        <x:v>3.217724827345738</x:v>
      </x:c>
      <x:c r="K175" s="26" t="n">
        <x:f>MIN(E175,I175)</x:f>
        <x:v>-0.9196988588246179</x:v>
      </x:c>
      <x:c r="P175" s="26" t="n">
        <x:v>85</x:v>
      </x:c>
      <x:c r="Q175" s="26" t="n">
        <x:v>3.217724827345738</x:v>
      </x:c>
      <x:c r="R175" s="26" t="n">
        <x:v>-0.919698858824618</x:v>
      </x:c>
      <x:c r="S175" s="26" t="n">
        <x:v>3.217724827345738</x:v>
      </x:c>
      <x:c r="T175" s="26" t="n">
        <x:v>-0.19905694614095282</x:v>
      </x:c>
      <x:c r="U175" s="26" t="n">
        <x:v>2.919698858824618</x:v>
      </x:c>
      <x:c r="V175" s="26" t="n">
        <x:v>-0.919698858824618</x:v>
      </x:c>
    </x:row>
    <x:row r="176">
      <x:c r="A176" s="26" t="n">
        <x:v>85.5</x:v>
      </x:c>
      <x:c r="B176" s="26" t="n">
        <x:f>(A176/$N$3)^2</x:f>
        <x:v>3.255691753509229</x:v>
      </x:c>
      <x:c r="C176" s="26" t="n">
        <x:f>0-(A176/$N$4)^2</x:f>
        <x:v>-2.9274730745564614</x:v>
      </x:c>
      <x:c r="D176" s="26" t="n">
        <x:f>MIN(B176,$N$5)</x:f>
        <x:v>3.255691753509229</x:v>
      </x:c>
      <x:c r="E176" s="26" t="n">
        <x:f>IF(A176&lt;=$N$7,MAX(C176,$N$6),MAX(C176,$N$6*($N$8-A176)/($N$8-$N$7)))</x:f>
        <x:v>-0.15535863496533778</x:v>
      </x:c>
      <x:c r="F176" s="26" t="n">
        <x:f>IF(A176&lt;=$N$7,1+$N$9*A176/$N$7,$N$10+(A176-$N$7)*($N$12-$N$10)/($N$8-$N$7))</x:f>
        <x:v>2.888928607981891</x:v>
      </x:c>
      <x:c r="G176" s="26" t="n">
        <x:f>IF(A176&lt;=$N$7,1-$N$9*A176/$N$7,$N$11+(A176-$N$7)*($N$13-$N$11)/($N$8-$N$7))</x:f>
        <x:v>-0.8889286079818908</x:v>
      </x:c>
      <x:c r="H176" s="26" t="n">
        <x:f>MIN(F176,B176)</x:f>
        <x:v>2.888928607981891</x:v>
      </x:c>
      <x:c r="I176" s="26" t="n">
        <x:f>MAX(G176,C176)</x:f>
        <x:v>-0.8889286079818908</x:v>
      </x:c>
      <x:c r="J176" s="26" t="n">
        <x:f>MAX(D176,H176)</x:f>
        <x:v>3.255691753509229</x:v>
      </x:c>
      <x:c r="K176" s="26" t="n">
        <x:f>MIN(E176,I176)</x:f>
        <x:v>-0.8889286079818908</x:v>
      </x:c>
      <x:c r="P176" s="26" t="n">
        <x:v>85.5</x:v>
      </x:c>
      <x:c r="Q176" s="26" t="n">
        <x:v>3.255691753509229</x:v>
      </x:c>
      <x:c r="R176" s="26" t="n">
        <x:v>-0.8889286079818907</x:v>
      </x:c>
      <x:c r="S176" s="26" t="n">
        <x:v>3.255691753509229</x:v>
      </x:c>
      <x:c r="T176" s="26" t="n">
        <x:v>-0.15535863496533778</x:v>
      </x:c>
      <x:c r="U176" s="26" t="n">
        <x:v>2.888928607981891</x:v>
      </x:c>
      <x:c r="V176" s="26" t="n">
        <x:v>-0.8889286079818907</x:v>
      </x:c>
    </x:row>
    <x:row r="177">
      <x:c r="A177" s="26" t="n">
        <x:v>86</x:v>
      </x:c>
      <x:c r="B177" s="26" t="n">
        <x:f>(A177/$N$3)^2</x:f>
        <x:v>3.293881359591568</x:v>
      </x:c>
      <x:c r="C177" s="26" t="n">
        <x:f>0-(A177/$N$4)^2</x:f>
        <x:v>-2.961812641075146</x:v>
      </x:c>
      <x:c r="D177" s="26" t="n">
        <x:f>MIN(B177,$N$5)</x:f>
        <x:v>3.293881359591568</x:v>
      </x:c>
      <x:c r="E177" s="26" t="n">
        <x:f>IF(A177&lt;=$N$7,MAX(C177,$N$6),MAX(C177,$N$6*($N$8-A177)/($N$8-$N$7)))</x:f>
        <x:v>-0.11166032378972279</x:v>
      </x:c>
      <x:c r="F177" s="26" t="n">
        <x:f>IF(A177&lt;=$N$7,1+$N$9*A177/$N$7,$N$10+(A177-$N$7)*($N$12-$N$10)/($N$8-$N$7))</x:f>
        <x:v>2.8581583571391636</x:v>
      </x:c>
      <x:c r="G177" s="26" t="n">
        <x:f>IF(A177&lt;=$N$7,1-$N$9*A177/$N$7,$N$11+(A177-$N$7)*($N$13-$N$11)/($N$8-$N$7))</x:f>
        <x:v>-0.8581583571391634</x:v>
      </x:c>
      <x:c r="H177" s="26" t="n">
        <x:f>MIN(F177,B177)</x:f>
        <x:v>2.8581583571391636</x:v>
      </x:c>
      <x:c r="I177" s="26" t="n">
        <x:f>MAX(G177,C177)</x:f>
        <x:v>-0.8581583571391634</x:v>
      </x:c>
      <x:c r="J177" s="26" t="n">
        <x:f>MAX(D177,H177)</x:f>
        <x:v>3.293881359591568</x:v>
      </x:c>
      <x:c r="K177" s="26" t="n">
        <x:f>MIN(E177,I177)</x:f>
        <x:v>-0.8581583571391634</x:v>
      </x:c>
      <x:c r="P177" s="26" t="n">
        <x:v>86</x:v>
      </x:c>
      <x:c r="Q177" s="26" t="n">
        <x:v>3.293881359591568</x:v>
      </x:c>
      <x:c r="R177" s="26" t="n">
        <x:v>-0.8581583571391634</x:v>
      </x:c>
      <x:c r="S177" s="26" t="n">
        <x:v>3.293881359591568</x:v>
      </x:c>
      <x:c r="T177" s="26" t="n">
        <x:v>-0.11166032378972279</x:v>
      </x:c>
      <x:c r="U177" s="26" t="n">
        <x:v>2.8581583571391636</x:v>
      </x:c>
      <x:c r="V177" s="26" t="n">
        <x:v>-0.8581583571391634</x:v>
      </x:c>
    </x:row>
    <x:row r="178">
      <x:c r="A178" s="26" t="n">
        <x:v>86.5</x:v>
      </x:c>
      <x:c r="B178" s="26" t="n">
        <x:f>(A178/$N$3)^2</x:f>
        <x:v>3.3322936455927543</x:v>
      </x:c>
      <x:c r="C178" s="26" t="n">
        <x:f>0-(A178/$N$4)^2</x:f>
        <x:v>-2.996352438302395</x:v>
      </x:c>
      <x:c r="D178" s="26" t="n">
        <x:f>MIN(B178,$N$5)</x:f>
        <x:v>3.3322936455927543</x:v>
      </x:c>
      <x:c r="E178" s="26" t="n">
        <x:f>IF(A178&lt;=$N$7,MAX(C178,$N$6),MAX(C178,$N$6*($N$8-A178)/($N$8-$N$7)))</x:f>
        <x:v>-0.06796201261410778</x:v>
      </x:c>
      <x:c r="F178" s="26" t="n">
        <x:f>IF(A178&lt;=$N$7,1+$N$9*A178/$N$7,$N$10+(A178-$N$7)*($N$12-$N$10)/($N$8-$N$7))</x:f>
        <x:v>2.8273881062964366</x:v>
      </x:c>
      <x:c r="G178" s="26" t="n">
        <x:f>IF(A178&lt;=$N$7,1-$N$9*A178/$N$7,$N$11+(A178-$N$7)*($N$13-$N$11)/($N$8-$N$7))</x:f>
        <x:v>-0.8273881062964363</x:v>
      </x:c>
      <x:c r="H178" s="26" t="n">
        <x:f>MIN(F178,B178)</x:f>
        <x:v>2.8273881062964366</x:v>
      </x:c>
      <x:c r="I178" s="26" t="n">
        <x:f>MAX(G178,C178)</x:f>
        <x:v>-0.8273881062964363</x:v>
      </x:c>
      <x:c r="J178" s="26" t="n">
        <x:f>MAX(D178,H178)</x:f>
        <x:v>3.3322936455927543</x:v>
      </x:c>
      <x:c r="K178" s="26" t="n">
        <x:f>MIN(E178,I178)</x:f>
        <x:v>-0.8273881062964363</x:v>
      </x:c>
      <x:c r="P178" s="26" t="n">
        <x:v>86.5</x:v>
      </x:c>
      <x:c r="Q178" s="26" t="n">
        <x:v>3.3322936455927543</x:v>
      </x:c>
      <x:c r="R178" s="26" t="n">
        <x:v>-0.8273881062964361</x:v>
      </x:c>
      <x:c r="S178" s="26" t="n">
        <x:v>3.3322936455927543</x:v>
      </x:c>
      <x:c r="T178" s="26" t="n">
        <x:v>-0.06796201261410778</x:v>
      </x:c>
      <x:c r="U178" s="26" t="n">
        <x:v>2.8273881062964366</x:v>
      </x:c>
      <x:c r="V178" s="26" t="n">
        <x:v>-0.8273881062964361</x:v>
      </x:c>
    </x:row>
    <x:row r="179">
      <x:c r="A179" s="26" t="n">
        <x:v>87</x:v>
      </x:c>
      <x:c r="B179" s="26" t="n">
        <x:f>(A179/$N$3)^2</x:f>
        <x:v>3.370928611512788</x:v>
      </x:c>
      <x:c r="C179" s="26" t="n">
        <x:f>0-(A179/$N$4)^2</x:f>
        <x:v>-3.0310924662382073</x:v>
      </x:c>
      <x:c r="D179" s="26" t="n">
        <x:f>MIN(B179,$N$5)</x:f>
        <x:v>3.370928611512788</x:v>
      </x:c>
      <x:c r="E179" s="26" t="n">
        <x:f>IF(A179&lt;=$N$7,MAX(C179,$N$6),MAX(C179,$N$6*($N$8-A179)/($N$8-$N$7)))</x:f>
        <x:v>-0.024263701438492765</x:v>
      </x:c>
      <x:c r="F179" s="26" t="n">
        <x:f>IF(A179&lt;=$N$7,1+$N$9*A179/$N$7,$N$10+(A179-$N$7)*($N$12-$N$10)/($N$8-$N$7))</x:f>
        <x:v>2.796617855453709</x:v>
      </x:c>
      <x:c r="G179" s="26" t="n">
        <x:f>IF(A179&lt;=$N$7,1-$N$9*A179/$N$7,$N$11+(A179-$N$7)*($N$13-$N$11)/($N$8-$N$7))</x:f>
        <x:v>-0.7966178554537089</x:v>
      </x:c>
      <x:c r="H179" s="26" t="n">
        <x:f>MIN(F179,B179)</x:f>
        <x:v>2.796617855453709</x:v>
      </x:c>
      <x:c r="I179" s="26" t="n">
        <x:f>MAX(G179,C179)</x:f>
        <x:v>-0.7966178554537089</x:v>
      </x:c>
      <x:c r="J179" s="26" t="n">
        <x:f>MAX(D179,H179)</x:f>
        <x:v>3.370928611512788</x:v>
      </x:c>
      <x:c r="K179" s="26" t="n">
        <x:f>MIN(E179,I179)</x:f>
        <x:v>-0.7966178554537089</x:v>
      </x:c>
      <x:c r="P179" s="26" t="n">
        <x:v>87</x:v>
      </x:c>
      <x:c r="Q179" s="26" t="n">
        <x:v>3.370928611512788</x:v>
      </x:c>
      <x:c r="R179" s="26" t="n">
        <x:v>-0.7966178554537089</x:v>
      </x:c>
      <x:c r="S179" s="26" t="n">
        <x:v>3.370928611512788</x:v>
      </x:c>
      <x:c r="T179" s="26" t="n">
        <x:v>-0.024263701438492765</x:v>
      </x:c>
      <x:c r="U179" s="26" t="n">
        <x:v>2.796617855453709</x:v>
      </x:c>
      <x:c r="V179" s="26" t="n">
        <x:v>-0.7966178554537089</x:v>
      </x:c>
    </x:row>
    <x:row r="180">
      <x:c r="A180" s="26" t="n">
        <x:v>87.277627</x:v>
      </x:c>
      <x:c r="B180" s="26" t="n">
        <x:f>(A180/$N$3)^2</x:f>
        <x:v>3.3924769797269523</x:v>
      </x:c>
      <x:c r="C180" s="26" t="n">
        <x:f>0-(A180/$N$4)^2</x:f>
        <x:v>-3.0504684614255897</x:v>
      </x:c>
      <x:c r="D180" s="26" t="n">
        <x:f>MIN(B180,$N$5)</x:f>
        <x:v>3.3924769797269523</x:v>
      </x:c>
      <x:c r="E180" s="26" t="n">
        <x:f>IF(A180&lt;=$N$7,MAX(C180,$N$6),MAX(C180,$N$6*($N$8-A180)/($N$8-$N$7)))</x:f>
        <x:v>-3.936498822991455e-8</x:v>
      </x:c>
      <x:c r="F180" s="26" t="n">
        <x:f>IF(A180&lt;=$N$7,1+$N$9*A180/$N$7,$N$10+(A180-$N$7)*($N$12-$N$10)/($N$8-$N$7))</x:f>
        <x:v>2.7795325505922817</x:v>
      </x:c>
      <x:c r="G180" s="26" t="n">
        <x:f>IF(A180&lt;=$N$7,1-$N$9*A180/$N$7,$N$11+(A180-$N$7)*($N$13-$N$11)/($N$8-$N$7))</x:f>
        <x:v>-0.7795325505922817</x:v>
      </x:c>
      <x:c r="H180" s="26" t="n">
        <x:f>MIN(F180,B180)</x:f>
        <x:v>2.7795325505922817</x:v>
      </x:c>
      <x:c r="I180" s="26" t="n">
        <x:f>MAX(G180,C180)</x:f>
        <x:v>-0.7795325505922817</x:v>
      </x:c>
      <x:c r="J180" s="26" t="n">
        <x:f>MAX(D180,H180)</x:f>
        <x:v>3.3924769797269523</x:v>
      </x:c>
      <x:c r="K180" s="26" t="n">
        <x:f>MIN(E180,I180)</x:f>
        <x:v>-0.7795325505922817</x:v>
      </x:c>
      <x:c r="P180" s="26" t="n">
        <x:v>87.277627</x:v>
      </x:c>
      <x:c r="Q180" s="26" t="n">
        <x:v>3.3924769797269523</x:v>
      </x:c>
      <x:c r="R180" s="26" t="n">
        <x:v>-0.7795325505922817</x:v>
      </x:c>
      <x:c r="S180" s="26" t="n">
        <x:v>3.3924769797269523</x:v>
      </x:c>
      <x:c r="T180" s="26" t="n">
        <x:v>-3.936498822991455e-8</x:v>
      </x:c>
      <x:c r="U180" s="26" t="n">
        <x:v>2.7795325505922817</x:v>
      </x:c>
      <x:c r="V180" s="26" t="n">
        <x:v>-0.7795325505922817</x:v>
      </x:c>
    </x:row>
  </x:sheetData>
  <x:mergeCells>
    <x:mergeCell ref="A1:K1"/>
  </x:mergeCells>
  <x:pageMargins left="0.7" right="0.7" top="0.75" bottom="0.75" header="0.3" footer="0.3"/>
  <x:drawing xmlns:r="http://schemas.openxmlformats.org/officeDocument/2006/relationships" r:id="R74886e9ec82446a2"/>
</x:worksheet>
</file>

<file path=xl/worksheets/sheet4.xml><?xml version="1.0" encoding="utf-8"?>
<x:worksheet xmlns:x="http://schemas.openxmlformats.org/spreadsheetml/2006/main">
  <x:sheetFormatPr defaultRowHeight="15"/>
  <x:cols>
    <x:col min="13" max="13" width="16" hidden="0" customWidth="1"/>
    <x:col min="14" max="14" width="16" hidden="0" customWidth="1"/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>
      <x:c r="A1" s="5" t="str">
        <x:v>Minimum operational mass = 1167.55 kg — V–n Calculation Data (20,000 ft)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M2" s="23" t="str">
        <x:v>Mass [kg]</x:v>
      </x:c>
      <x:c r="N2" t="n">
        <x:v>1167.55</x:v>
      </x:c>
    </x:row>
    <x:row r="3">
      <x:c r="A3" s="14" t="str">
        <x:v>V [KEAS]</x:v>
      </x:c>
      <x:c r="B3" s="14" t="str">
        <x:v>Positive stall</x:v>
      </x:c>
      <x:c r="C3" s="14" t="str">
        <x:v>Negative stall (provisional)</x:v>
      </x:c>
      <x:c r="D3" s="14" t="str">
        <x:v>Maneuver upper</x:v>
      </x:c>
      <x:c r="E3" s="14" t="str">
        <x:v>Maneuver lower</x:v>
      </x:c>
      <x:c r="F3" s="14" t="str">
        <x:v>Raw gust upper</x:v>
      </x:c>
      <x:c r="G3" s="14" t="str">
        <x:v>Raw gust lower</x:v>
      </x:c>
      <x:c r="H3" s="14" t="str">
        <x:v>Attainable gust upper</x:v>
      </x:c>
      <x:c r="I3" s="14" t="str">
        <x:v>Attainable gust lower</x:v>
      </x:c>
      <x:c r="J3" s="14" t="str">
        <x:v>Combined upper</x:v>
      </x:c>
      <x:c r="K3" s="14" t="str">
        <x:v>Combined lower</x:v>
      </x:c>
      <x:c r="M3" s="23" t="str">
        <x:v>Vs+ [KEAS]</x:v>
      </x:c>
      <x:c r="N3" t="n">
        <x:v>42.308886949993834</x:v>
      </x:c>
      <x:c r="P3" s="14" t="str">
        <x:v>V [KEAS]</x:v>
      </x:c>
      <x:c r="Q3" s="14" t="str">
        <x:v>Combined upper</x:v>
      </x:c>
      <x:c r="R3" s="14" t="str">
        <x:v>Combined lower</x:v>
      </x:c>
      <x:c r="S3" s="14" t="str">
        <x:v>Maneuver upper</x:v>
      </x:c>
      <x:c r="T3" s="14" t="str">
        <x:v>Maneuver lower</x:v>
      </x:c>
      <x:c r="U3" s="14" t="str">
        <x:v>Raw gust upper</x:v>
      </x:c>
      <x:c r="V3" s="14" t="str">
        <x:v>Raw gust lower</x:v>
      </x:c>
    </x:row>
    <x:row r="4">
      <x:c r="A4" s="26" t="n">
        <x:v>0</x:v>
      </x:c>
      <x:c r="B4" s="26" t="n">
        <x:f>(A4/$N$3)^2</x:f>
        <x:v>0</x:v>
      </x:c>
      <x:c r="C4" s="26" t="n">
        <x:f>0-(A4/$N$4)^2</x:f>
        <x:v>0</x:v>
      </x:c>
      <x:c r="D4" s="26" t="n">
        <x:f>MIN(B4,$N$5)</x:f>
        <x:v>0</x:v>
      </x:c>
      <x:c r="E4" s="26" t="n">
        <x:f>IF(A4&lt;=$N$7,MAX(C4,$N$6),MAX(C4,$N$6*($N$8-A4)/($N$8-$N$7)))</x:f>
        <x:v>0</x:v>
      </x:c>
      <x:c r="F4" s="26" t="n">
        <x:f>IF(A4&lt;=$N$7,1+$N$9*A4/$N$7,$N$10+(A4-$N$7)*($N$12-$N$10)/($N$8-$N$7))</x:f>
        <x:v>1</x:v>
      </x:c>
      <x:c r="G4" s="26" t="n">
        <x:f>IF(A4&lt;=$N$7,1-$N$9*A4/$N$7,$N$11+(A4-$N$7)*($N$13-$N$11)/($N$8-$N$7))</x:f>
        <x:v>1</x:v>
      </x:c>
      <x:c r="H4" s="26" t="n">
        <x:f>MIN(F4,B4)</x:f>
        <x:v>0</x:v>
      </x:c>
      <x:c r="I4" s="26" t="n">
        <x:f>MAX(G4,C4)</x:f>
        <x:v>1</x:v>
      </x:c>
      <x:c r="J4" s="26" t="n">
        <x:f>MAX(D4,H4)</x:f>
        <x:v>0</x:v>
      </x:c>
      <x:c r="K4" s="26" t="n">
        <x:f>MIN(E4,I4)</x:f>
        <x:v>0</x:v>
      </x:c>
      <x:c r="M4" s="23" t="str">
        <x:v>Vs- [KEAS]</x:v>
      </x:c>
      <x:c r="N4" t="n">
        <x:v>44.61765954283412</x:v>
      </x:c>
      <x:c r="P4" s="26" t="n">
        <x:v>0</x:v>
      </x:c>
      <x:c r="Q4" s="26" t="n">
        <x:v>0</x:v>
      </x:c>
      <x:c r="R4" s="26" t="n">
        <x:v>0</x:v>
      </x:c>
      <x:c r="S4" s="26" t="n">
        <x:v>0</x:v>
      </x:c>
      <x:c r="T4" s="26" t="n">
        <x:v>0</x:v>
      </x:c>
      <x:c r="U4" s="26" t="n">
        <x:v>1</x:v>
      </x:c>
      <x:c r="V4" s="26" t="n">
        <x:v>1</x:v>
      </x:c>
    </x:row>
    <x:row r="5">
      <x:c r="A5" s="26" t="n">
        <x:v>0.5</x:v>
      </x:c>
      <x:c r="B5" s="26" t="n">
        <x:f>(A5/$N$3)^2</x:f>
        <x:v>0.00013966153413080942</x:v>
      </x:c>
      <x:c r="C5" s="26" t="n">
        <x:f>0-(A5/$N$4)^2</x:f>
        <x:v>-0.00012558172323239684</x:v>
      </x:c>
      <x:c r="D5" s="26" t="n">
        <x:f>MIN(B5,$N$5)</x:f>
        <x:v>0.00013966153413080942</x:v>
      </x:c>
      <x:c r="E5" s="26" t="n">
        <x:f>IF(A5&lt;=$N$7,MAX(C5,$N$6),MAX(C5,$N$6*($N$8-A5)/($N$8-$N$7)))</x:f>
        <x:v>-0.00012558172323239684</x:v>
      </x:c>
      <x:c r="F5" s="26" t="n">
        <x:f>IF(A5&lt;=$N$7,1+$N$9*A5/$N$7,$N$10+(A5-$N$7)*($N$12-$N$10)/($N$8-$N$7))</x:f>
        <x:v>1.0243784737714134</x:v>
      </x:c>
      <x:c r="G5" s="26" t="n">
        <x:f>IF(A5&lt;=$N$7,1-$N$9*A5/$N$7,$N$11+(A5-$N$7)*($N$13-$N$11)/($N$8-$N$7))</x:f>
        <x:v>0.9756215262285866</x:v>
      </x:c>
      <x:c r="H5" s="26" t="n">
        <x:f>MIN(F5,B5)</x:f>
        <x:v>0.00013966153413080942</x:v>
      </x:c>
      <x:c r="I5" s="26" t="n">
        <x:f>MAX(G5,C5)</x:f>
        <x:v>0.9756215262285866</x:v>
      </x:c>
      <x:c r="J5" s="26" t="n">
        <x:f>MAX(D5,H5)</x:f>
        <x:v>0.00013966153413080942</x:v>
      </x:c>
      <x:c r="K5" s="26" t="n">
        <x:f>MIN(E5,I5)</x:f>
        <x:v>-0.00012558172323239684</x:v>
      </x:c>
      <x:c r="M5" s="23" t="str">
        <x:v>nlim+</x:v>
      </x:c>
      <x:c r="N5" t="n">
        <x:v>3.8</x:v>
      </x:c>
      <x:c r="P5" s="26" t="n">
        <x:v>0.5</x:v>
      </x:c>
      <x:c r="Q5" s="26" t="n">
        <x:v>0.00013966153413080942</x:v>
      </x:c>
      <x:c r="R5" s="26" t="n">
        <x:v>-0.00012558172323239684</x:v>
      </x:c>
      <x:c r="S5" s="26" t="n">
        <x:v>0.00013966153413080942</x:v>
      </x:c>
      <x:c r="T5" s="26" t="n">
        <x:v>-0.00012558172323239684</x:v>
      </x:c>
      <x:c r="U5" s="26" t="n">
        <x:v>1.0243784737714134</x:v>
      </x:c>
      <x:c r="V5" s="26" t="n">
        <x:v>0.9756215262285866</x:v>
      </x:c>
    </x:row>
    <x:row r="6">
      <x:c r="A6" s="26" t="n">
        <x:v>1</x:v>
      </x:c>
      <x:c r="B6" s="26" t="n">
        <x:f>(A6/$N$3)^2</x:f>
        <x:v>0.0005586461365232377</x:v>
      </x:c>
      <x:c r="C6" s="26" t="n">
        <x:f>0-(A6/$N$4)^2</x:f>
        <x:v>-0.0005023268929295874</x:v>
      </x:c>
      <x:c r="D6" s="26" t="n">
        <x:f>MIN(B6,$N$5)</x:f>
        <x:v>0.0005586461365232377</x:v>
      </x:c>
      <x:c r="E6" s="26" t="n">
        <x:f>IF(A6&lt;=$N$7,MAX(C6,$N$6),MAX(C6,$N$6*($N$8-A6)/($N$8-$N$7)))</x:f>
        <x:v>-0.0005023268929295874</x:v>
      </x:c>
      <x:c r="F6" s="26" t="n">
        <x:f>IF(A6&lt;=$N$7,1+$N$9*A6/$N$7,$N$10+(A6-$N$7)*($N$12-$N$10)/($N$8-$N$7))</x:f>
        <x:v>1.048756947542827</x:v>
      </x:c>
      <x:c r="G6" s="26" t="n">
        <x:f>IF(A6&lt;=$N$7,1-$N$9*A6/$N$7,$N$11+(A6-$N$7)*($N$13-$N$11)/($N$8-$N$7))</x:f>
        <x:v>0.9512430524571731</x:v>
      </x:c>
      <x:c r="H6" s="26" t="n">
        <x:f>MIN(F6,B6)</x:f>
        <x:v>0.0005586461365232377</x:v>
      </x:c>
      <x:c r="I6" s="26" t="n">
        <x:f>MAX(G6,C6)</x:f>
        <x:v>0.9512430524571731</x:v>
      </x:c>
      <x:c r="J6" s="26" t="n">
        <x:f>MAX(D6,H6)</x:f>
        <x:v>0.0005586461365232377</x:v>
      </x:c>
      <x:c r="K6" s="26" t="n">
        <x:f>MIN(E6,I6)</x:f>
        <x:v>-0.0005023268929295874</x:v>
      </x:c>
      <x:c r="M6" s="23" t="str">
        <x:v>nlim-</x:v>
      </x:c>
      <x:c r="N6" t="n">
        <x:v>-1.52</x:v>
      </x:c>
      <x:c r="P6" s="26" t="n">
        <x:v>1</x:v>
      </x:c>
      <x:c r="Q6" s="26" t="n">
        <x:v>0.0005586461365232377</x:v>
      </x:c>
      <x:c r="R6" s="26" t="n">
        <x:v>-0.0005023268929295874</x:v>
      </x:c>
      <x:c r="S6" s="26" t="n">
        <x:v>0.0005586461365232377</x:v>
      </x:c>
      <x:c r="T6" s="26" t="n">
        <x:v>-0.0005023268929295874</x:v>
      </x:c>
      <x:c r="U6" s="26" t="n">
        <x:v>1.048756947542827</x:v>
      </x:c>
      <x:c r="V6" s="26" t="n">
        <x:v>0.9512430524571731</x:v>
      </x:c>
    </x:row>
    <x:row r="7">
      <x:c r="A7" s="26" t="n">
        <x:v>1.5</x:v>
      </x:c>
      <x:c r="B7" s="26" t="n">
        <x:f>(A7/$N$3)^2</x:f>
        <x:v>0.0012569538071772848</x:v>
      </x:c>
      <x:c r="C7" s="26" t="n">
        <x:f>0-(A7/$N$4)^2</x:f>
        <x:v>-0.001130235509091572</x:v>
      </x:c>
      <x:c r="D7" s="26" t="n">
        <x:f>MIN(B7,$N$5)</x:f>
        <x:v>0.0012569538071772848</x:v>
      </x:c>
      <x:c r="E7" s="26" t="n">
        <x:f>IF(A7&lt;=$N$7,MAX(C7,$N$6),MAX(C7,$N$6*($N$8-A7)/($N$8-$N$7)))</x:f>
        <x:v>-0.001130235509091572</x:v>
      </x:c>
      <x:c r="F7" s="26" t="n">
        <x:f>IF(A7&lt;=$N$7,1+$N$9*A7/$N$7,$N$10+(A7-$N$7)*($N$12-$N$10)/($N$8-$N$7))</x:f>
        <x:v>1.0731354213142403</x:v>
      </x:c>
      <x:c r="G7" s="26" t="n">
        <x:f>IF(A7&lt;=$N$7,1-$N$9*A7/$N$7,$N$11+(A7-$N$7)*($N$13-$N$11)/($N$8-$N$7))</x:f>
        <x:v>0.9268645786857598</x:v>
      </x:c>
      <x:c r="H7" s="26" t="n">
        <x:f>MIN(F7,B7)</x:f>
        <x:v>0.0012569538071772848</x:v>
      </x:c>
      <x:c r="I7" s="26" t="n">
        <x:f>MAX(G7,C7)</x:f>
        <x:v>0.9268645786857598</x:v>
      </x:c>
      <x:c r="J7" s="26" t="n">
        <x:f>MAX(D7,H7)</x:f>
        <x:v>0.0012569538071772848</x:v>
      </x:c>
      <x:c r="K7" s="26" t="n">
        <x:f>MIN(E7,I7)</x:f>
        <x:v>-0.001130235509091572</x:v>
      </x:c>
      <x:c r="M7" s="23" t="str">
        <x:v>VC [KEAS]</x:v>
      </x:c>
      <x:c r="N7" t="n">
        <x:v>69.88565097458304</x:v>
      </x:c>
      <x:c r="P7" s="26" t="n">
        <x:v>1.5</x:v>
      </x:c>
      <x:c r="Q7" s="26" t="n">
        <x:v>0.0012569538071772848</x:v>
      </x:c>
      <x:c r="R7" s="26" t="n">
        <x:v>-0.001130235509091572</x:v>
      </x:c>
      <x:c r="S7" s="26" t="n">
        <x:v>0.0012569538071772848</x:v>
      </x:c>
      <x:c r="T7" s="26" t="n">
        <x:v>-0.001130235509091572</x:v>
      </x:c>
      <x:c r="U7" s="26" t="n">
        <x:v>1.0731354213142403</x:v>
      </x:c>
      <x:c r="V7" s="26" t="n">
        <x:v>0.9268645786857597</x:v>
      </x:c>
    </x:row>
    <x:row r="8">
      <x:c r="A8" s="26" t="n">
        <x:v>2</x:v>
      </x:c>
      <x:c r="B8" s="26" t="n">
        <x:f>(A8/$N$3)^2</x:f>
        <x:v>0.0022345845460929508</x:v>
      </x:c>
      <x:c r="C8" s="26" t="n">
        <x:f>0-(A8/$N$4)^2</x:f>
        <x:v>-0.0020093075717183494</x:v>
      </x:c>
      <x:c r="D8" s="26" t="n">
        <x:f>MIN(B8,$N$5)</x:f>
        <x:v>0.0022345845460929508</x:v>
      </x:c>
      <x:c r="E8" s="26" t="n">
        <x:f>IF(A8&lt;=$N$7,MAX(C8,$N$6),MAX(C8,$N$6*($N$8-A8)/($N$8-$N$7)))</x:f>
        <x:v>-0.0020093075717183494</x:v>
      </x:c>
      <x:c r="F8" s="26" t="n">
        <x:f>IF(A8&lt;=$N$7,1+$N$9*A8/$N$7,$N$10+(A8-$N$7)*($N$12-$N$10)/($N$8-$N$7))</x:f>
        <x:v>1.0975138950856538</x:v>
      </x:c>
      <x:c r="G8" s="26" t="n">
        <x:f>IF(A8&lt;=$N$7,1-$N$9*A8/$N$7,$N$11+(A8-$N$7)*($N$13-$N$11)/($N$8-$N$7))</x:f>
        <x:v>0.9024861049143463</x:v>
      </x:c>
      <x:c r="H8" s="26" t="n">
        <x:f>MIN(F8,B8)</x:f>
        <x:v>0.0022345845460929508</x:v>
      </x:c>
      <x:c r="I8" s="26" t="n">
        <x:f>MAX(G8,C8)</x:f>
        <x:v>0.9024861049143463</x:v>
      </x:c>
      <x:c r="J8" s="26" t="n">
        <x:f>MAX(D8,H8)</x:f>
        <x:v>0.0022345845460929508</x:v>
      </x:c>
      <x:c r="K8" s="26" t="n">
        <x:f>MIN(E8,I8)</x:f>
        <x:v>-0.0020093075717183494</x:v>
      </x:c>
      <x:c r="M8" s="23" t="str">
        <x:v>VD [KEAS]</x:v>
      </x:c>
      <x:c r="N8" t="n">
        <x:v>87.27762745041773</x:v>
      </x:c>
      <x:c r="P8" s="26" t="n">
        <x:v>2</x:v>
      </x:c>
      <x:c r="Q8" s="26" t="n">
        <x:v>0.0022345845460929508</x:v>
      </x:c>
      <x:c r="R8" s="26" t="n">
        <x:v>-0.0020093075717183494</x:v>
      </x:c>
      <x:c r="S8" s="26" t="n">
        <x:v>0.0022345845460929508</x:v>
      </x:c>
      <x:c r="T8" s="26" t="n">
        <x:v>-0.0020093075717183494</x:v>
      </x:c>
      <x:c r="U8" s="26" t="n">
        <x:v>1.0975138950856538</x:v>
      </x:c>
      <x:c r="V8" s="26" t="n">
        <x:v>0.9024861049143463</x:v>
      </x:c>
    </x:row>
    <x:row r="9">
      <x:c r="A9" s="26" t="n">
        <x:v>2.5</x:v>
      </x:c>
      <x:c r="B9" s="26" t="n">
        <x:f>(A9/$N$3)^2</x:f>
        <x:v>0.0034915383532702357</x:v>
      </x:c>
      <x:c r="C9" s="26" t="n">
        <x:f>0-(A9/$N$4)^2</x:f>
        <x:v>-0.0031395430808099215</x:v>
      </x:c>
      <x:c r="D9" s="26" t="n">
        <x:f>MIN(B9,$N$5)</x:f>
        <x:v>0.0034915383532702357</x:v>
      </x:c>
      <x:c r="E9" s="26" t="n">
        <x:f>IF(A9&lt;=$N$7,MAX(C9,$N$6),MAX(C9,$N$6*($N$8-A9)/($N$8-$N$7)))</x:f>
        <x:v>-0.0031395430808099215</x:v>
      </x:c>
      <x:c r="F9" s="26" t="n">
        <x:f>IF(A9&lt;=$N$7,1+$N$9*A9/$N$7,$N$10+(A9-$N$7)*($N$12-$N$10)/($N$8-$N$7))</x:f>
        <x:v>1.121892368857067</x:v>
      </x:c>
      <x:c r="G9" s="26" t="n">
        <x:f>IF(A9&lt;=$N$7,1-$N$9*A9/$N$7,$N$11+(A9-$N$7)*($N$13-$N$11)/($N$8-$N$7))</x:f>
        <x:v>0.8781076311429329</x:v>
      </x:c>
      <x:c r="H9" s="26" t="n">
        <x:f>MIN(F9,B9)</x:f>
        <x:v>0.0034915383532702357</x:v>
      </x:c>
      <x:c r="I9" s="26" t="n">
        <x:f>MAX(G9,C9)</x:f>
        <x:v>0.8781076311429329</x:v>
      </x:c>
      <x:c r="J9" s="26" t="n">
        <x:f>MAX(D9,H9)</x:f>
        <x:v>0.0034915383532702357</x:v>
      </x:c>
      <x:c r="K9" s="26" t="n">
        <x:f>MIN(E9,I9)</x:f>
        <x:v>-0.0031395430808099215</x:v>
      </x:c>
      <x:c r="M9" s="23" t="str">
        <x:v>dN_C</x:v>
      </x:c>
      <x:c r="N9" t="n">
        <x:v>3.4074110185640514</x:v>
      </x:c>
      <x:c r="P9" s="26" t="n">
        <x:v>2.5</x:v>
      </x:c>
      <x:c r="Q9" s="26" t="n">
        <x:v>0.0034915383532702357</x:v>
      </x:c>
      <x:c r="R9" s="26" t="n">
        <x:v>-0.0031395430808099215</x:v>
      </x:c>
      <x:c r="S9" s="26" t="n">
        <x:v>0.0034915383532702357</x:v>
      </x:c>
      <x:c r="T9" s="26" t="n">
        <x:v>-0.0031395430808099215</x:v>
      </x:c>
      <x:c r="U9" s="26" t="n">
        <x:v>1.121892368857067</x:v>
      </x:c>
      <x:c r="V9" s="26" t="n">
        <x:v>0.8781076311429329</x:v>
      </x:c>
    </x:row>
    <x:row r="10">
      <x:c r="A10" s="26" t="n">
        <x:v>3</x:v>
      </x:c>
      <x:c r="B10" s="26" t="n">
        <x:f>(A10/$N$3)^2</x:f>
        <x:v>0.005027815228709139</x:v>
      </x:c>
      <x:c r="C10" s="26" t="n">
        <x:f>0-(A10/$N$4)^2</x:f>
        <x:v>-0.004520942036366288</x:v>
      </x:c>
      <x:c r="D10" s="26" t="n">
        <x:f>MIN(B10,$N$5)</x:f>
        <x:v>0.005027815228709139</x:v>
      </x:c>
      <x:c r="E10" s="26" t="n">
        <x:f>IF(A10&lt;=$N$7,MAX(C10,$N$6),MAX(C10,$N$6*($N$8-A10)/($N$8-$N$7)))</x:f>
        <x:v>-0.004520942036366288</x:v>
      </x:c>
      <x:c r="F10" s="26" t="n">
        <x:f>IF(A10&lt;=$N$7,1+$N$9*A10/$N$7,$N$10+(A10-$N$7)*($N$12-$N$10)/($N$8-$N$7))</x:f>
        <x:v>1.1462708426284804</x:v>
      </x:c>
      <x:c r="G10" s="26" t="n">
        <x:f>IF(A10&lt;=$N$7,1-$N$9*A10/$N$7,$N$11+(A10-$N$7)*($N$13-$N$11)/($N$8-$N$7))</x:f>
        <x:v>0.8537291573715194</x:v>
      </x:c>
      <x:c r="H10" s="26" t="n">
        <x:f>MIN(F10,B10)</x:f>
        <x:v>0.005027815228709139</x:v>
      </x:c>
      <x:c r="I10" s="26" t="n">
        <x:f>MAX(G10,C10)</x:f>
        <x:v>0.8537291573715194</x:v>
      </x:c>
      <x:c r="J10" s="26" t="n">
        <x:f>MAX(D10,H10)</x:f>
        <x:v>0.005027815228709139</x:v>
      </x:c>
      <x:c r="K10" s="26" t="n">
        <x:f>MIN(E10,I10)</x:f>
        <x:v>-0.004520942036366288</x:v>
      </x:c>
      <x:c r="M10" s="23" t="str">
        <x:v>nC+</x:v>
      </x:c>
      <x:c r="N10" t="n">
        <x:v>4.407411018564051</x:v>
      </x:c>
      <x:c r="P10" s="26" t="n">
        <x:v>3</x:v>
      </x:c>
      <x:c r="Q10" s="26" t="n">
        <x:v>0.005027815228709139</x:v>
      </x:c>
      <x:c r="R10" s="26" t="n">
        <x:v>-0.004520942036366288</x:v>
      </x:c>
      <x:c r="S10" s="26" t="n">
        <x:v>0.005027815228709139</x:v>
      </x:c>
      <x:c r="T10" s="26" t="n">
        <x:v>-0.004520942036366288</x:v>
      </x:c>
      <x:c r="U10" s="26" t="n">
        <x:v>1.1462708426284807</x:v>
      </x:c>
      <x:c r="V10" s="26" t="n">
        <x:v>0.8537291573715194</x:v>
      </x:c>
    </x:row>
    <x:row r="11">
      <x:c r="A11" s="26" t="n">
        <x:v>3.5</x:v>
      </x:c>
      <x:c r="B11" s="26" t="n">
        <x:f>(A11/$N$3)^2</x:f>
        <x:v>0.006843415172409663</x:v>
      </x:c>
      <x:c r="C11" s="26" t="n">
        <x:f>0-(A11/$N$4)^2</x:f>
        <x:v>-0.006153504438387446</x:v>
      </x:c>
      <x:c r="D11" s="26" t="n">
        <x:f>MIN(B11,$N$5)</x:f>
        <x:v>0.006843415172409663</x:v>
      </x:c>
      <x:c r="E11" s="26" t="n">
        <x:f>IF(A11&lt;=$N$7,MAX(C11,$N$6),MAX(C11,$N$6*($N$8-A11)/($N$8-$N$7)))</x:f>
        <x:v>-0.006153504438387446</x:v>
      </x:c>
      <x:c r="F11" s="26" t="n">
        <x:f>IF(A11&lt;=$N$7,1+$N$9*A11/$N$7,$N$10+(A11-$N$7)*($N$12-$N$10)/($N$8-$N$7))</x:f>
        <x:v>1.170649316399894</x:v>
      </x:c>
      <x:c r="G11" s="26" t="n">
        <x:f>IF(A11&lt;=$N$7,1-$N$9*A11/$N$7,$N$11+(A11-$N$7)*($N$13-$N$11)/($N$8-$N$7))</x:f>
        <x:v>0.829350683600106</x:v>
      </x:c>
      <x:c r="H11" s="26" t="n">
        <x:f>MIN(F11,B11)</x:f>
        <x:v>0.006843415172409663</x:v>
      </x:c>
      <x:c r="I11" s="26" t="n">
        <x:f>MAX(G11,C11)</x:f>
        <x:v>0.829350683600106</x:v>
      </x:c>
      <x:c r="J11" s="26" t="n">
        <x:f>MAX(D11,H11)</x:f>
        <x:v>0.006843415172409663</x:v>
      </x:c>
      <x:c r="K11" s="26" t="n">
        <x:f>MIN(E11,I11)</x:f>
        <x:v>-0.006153504438387446</x:v>
      </x:c>
      <x:c r="M11" s="23" t="str">
        <x:v>nC-</x:v>
      </x:c>
      <x:c r="N11" t="n">
        <x:v>-2.4074110185640514</x:v>
      </x:c>
      <x:c r="P11" s="26" t="n">
        <x:v>3.5</x:v>
      </x:c>
      <x:c r="Q11" s="26" t="n">
        <x:v>0.006843415172409663</x:v>
      </x:c>
      <x:c r="R11" s="26" t="n">
        <x:v>-0.006153504438387446</x:v>
      </x:c>
      <x:c r="S11" s="26" t="n">
        <x:v>0.006843415172409663</x:v>
      </x:c>
      <x:c r="T11" s="26" t="n">
        <x:v>-0.006153504438387446</x:v>
      </x:c>
      <x:c r="U11" s="26" t="n">
        <x:v>1.170649316399894</x:v>
      </x:c>
      <x:c r="V11" s="26" t="n">
        <x:v>0.829350683600106</x:v>
      </x:c>
    </x:row>
    <x:row r="12">
      <x:c r="A12" s="26" t="n">
        <x:v>4</x:v>
      </x:c>
      <x:c r="B12" s="26" t="n">
        <x:f>(A12/$N$3)^2</x:f>
        <x:v>0.008938338184371803</x:v>
      </x:c>
      <x:c r="C12" s="26" t="n">
        <x:f>0-(A12/$N$4)^2</x:f>
        <x:v>-0.008037230286873398</x:v>
      </x:c>
      <x:c r="D12" s="26" t="n">
        <x:f>MIN(B12,$N$5)</x:f>
        <x:v>0.008938338184371803</x:v>
      </x:c>
      <x:c r="E12" s="26" t="n">
        <x:f>IF(A12&lt;=$N$7,MAX(C12,$N$6),MAX(C12,$N$6*($N$8-A12)/($N$8-$N$7)))</x:f>
        <x:v>-0.008037230286873398</x:v>
      </x:c>
      <x:c r="F12" s="26" t="n">
        <x:f>IF(A12&lt;=$N$7,1+$N$9*A12/$N$7,$N$10+(A12-$N$7)*($N$12-$N$10)/($N$8-$N$7))</x:f>
        <x:v>1.1950277901713073</x:v>
      </x:c>
      <x:c r="G12" s="26" t="n">
        <x:f>IF(A12&lt;=$N$7,1-$N$9*A12/$N$7,$N$11+(A12-$N$7)*($N$13-$N$11)/($N$8-$N$7))</x:f>
        <x:v>0.8049722098286927</x:v>
      </x:c>
      <x:c r="H12" s="26" t="n">
        <x:f>MIN(F12,B12)</x:f>
        <x:v>0.008938338184371803</x:v>
      </x:c>
      <x:c r="I12" s="26" t="n">
        <x:f>MAX(G12,C12)</x:f>
        <x:v>0.8049722098286927</x:v>
      </x:c>
      <x:c r="J12" s="26" t="n">
        <x:f>MAX(D12,H12)</x:f>
        <x:v>0.008938338184371803</x:v>
      </x:c>
      <x:c r="K12" s="26" t="n">
        <x:f>MIN(E12,I12)</x:f>
        <x:v>-0.008037230286873398</x:v>
      </x:c>
      <x:c r="M12" s="23" t="str">
        <x:v>nD+</x:v>
      </x:c>
      <x:c r="N12" t="n">
        <x:v>3.1276953516312007</x:v>
      </x:c>
      <x:c r="P12" s="26" t="n">
        <x:v>4</x:v>
      </x:c>
      <x:c r="Q12" s="26" t="n">
        <x:v>0.008938338184371803</x:v>
      </x:c>
      <x:c r="R12" s="26" t="n">
        <x:v>-0.008037230286873398</x:v>
      </x:c>
      <x:c r="S12" s="26" t="n">
        <x:v>0.008938338184371803</x:v>
      </x:c>
      <x:c r="T12" s="26" t="n">
        <x:v>-0.008037230286873398</x:v>
      </x:c>
      <x:c r="U12" s="26" t="n">
        <x:v>1.1950277901713073</x:v>
      </x:c>
      <x:c r="V12" s="26" t="n">
        <x:v>0.8049722098286927</x:v>
      </x:c>
    </x:row>
    <x:row r="13">
      <x:c r="A13" s="26" t="n">
        <x:v>4.5</x:v>
      </x:c>
      <x:c r="B13" s="26" t="n">
        <x:f>(A13/$N$3)^2</x:f>
        <x:v>0.011312584264595565</x:v>
      </x:c>
      <x:c r="C13" s="26" t="n">
        <x:f>0-(A13/$N$4)^2</x:f>
        <x:v>-0.010172119581824143</x:v>
      </x:c>
      <x:c r="D13" s="26" t="n">
        <x:f>MIN(B13,$N$5)</x:f>
        <x:v>0.011312584264595565</x:v>
      </x:c>
      <x:c r="E13" s="26" t="n">
        <x:f>IF(A13&lt;=$N$7,MAX(C13,$N$6),MAX(C13,$N$6*($N$8-A13)/($N$8-$N$7)))</x:f>
        <x:v>-0.010172119581824143</x:v>
      </x:c>
      <x:c r="F13" s="26" t="n">
        <x:f>IF(A13&lt;=$N$7,1+$N$9*A13/$N$7,$N$10+(A13-$N$7)*($N$12-$N$10)/($N$8-$N$7))</x:f>
        <x:v>1.2194062639427208</x:v>
      </x:c>
      <x:c r="G13" s="26" t="n">
        <x:f>IF(A13&lt;=$N$7,1-$N$9*A13/$N$7,$N$11+(A13-$N$7)*($N$13-$N$11)/($N$8-$N$7))</x:f>
        <x:v>0.7805937360572792</x:v>
      </x:c>
      <x:c r="H13" s="26" t="n">
        <x:f>MIN(F13,B13)</x:f>
        <x:v>0.011312584264595565</x:v>
      </x:c>
      <x:c r="I13" s="26" t="n">
        <x:f>MAX(G13,C13)</x:f>
        <x:v>0.7805937360572792</x:v>
      </x:c>
      <x:c r="J13" s="26" t="n">
        <x:f>MAX(D13,H13)</x:f>
        <x:v>0.011312584264595565</x:v>
      </x:c>
      <x:c r="K13" s="26" t="n">
        <x:f>MIN(E13,I13)</x:f>
        <x:v>-0.010172119581824143</x:v>
      </x:c>
      <x:c r="M13" s="23" t="str">
        <x:v>nD-</x:v>
      </x:c>
      <x:c r="N13" t="n">
        <x:v>-1.1276953516312007</x:v>
      </x:c>
      <x:c r="P13" s="26" t="n">
        <x:v>4.5</x:v>
      </x:c>
      <x:c r="Q13" s="26" t="n">
        <x:v>0.011312584264595565</x:v>
      </x:c>
      <x:c r="R13" s="26" t="n">
        <x:v>-0.010172119581824143</x:v>
      </x:c>
      <x:c r="S13" s="26" t="n">
        <x:v>0.011312584264595565</x:v>
      </x:c>
      <x:c r="T13" s="26" t="n">
        <x:v>-0.010172119581824143</x:v>
      </x:c>
      <x:c r="U13" s="26" t="n">
        <x:v>1.2194062639427208</x:v>
      </x:c>
      <x:c r="V13" s="26" t="n">
        <x:v>0.7805937360572792</x:v>
      </x:c>
    </x:row>
    <x:row r="14">
      <x:c r="A14" s="26" t="n">
        <x:v>5</x:v>
      </x:c>
      <x:c r="B14" s="26" t="n">
        <x:f>(A14/$N$3)^2</x:f>
        <x:v>0.013966153413080943</x:v>
      </x:c>
      <x:c r="C14" s="26" t="n">
        <x:f>0-(A14/$N$4)^2</x:f>
        <x:v>-0.012558172323239686</x:v>
      </x:c>
      <x:c r="D14" s="26" t="n">
        <x:f>MIN(B14,$N$5)</x:f>
        <x:v>0.013966153413080943</x:v>
      </x:c>
      <x:c r="E14" s="26" t="n">
        <x:f>IF(A14&lt;=$N$7,MAX(C14,$N$6),MAX(C14,$N$6*($N$8-A14)/($N$8-$N$7)))</x:f>
        <x:v>-0.012558172323239686</x:v>
      </x:c>
      <x:c r="F14" s="26" t="n">
        <x:f>IF(A14&lt;=$N$7,1+$N$9*A14/$N$7,$N$10+(A14-$N$7)*($N$12-$N$10)/($N$8-$N$7))</x:f>
        <x:v>1.2437847377141342</x:v>
      </x:c>
      <x:c r="G14" s="26" t="n">
        <x:f>IF(A14&lt;=$N$7,1-$N$9*A14/$N$7,$N$11+(A14-$N$7)*($N$13-$N$11)/($N$8-$N$7))</x:f>
        <x:v>0.7562152622858658</x:v>
      </x:c>
      <x:c r="H14" s="26" t="n">
        <x:f>MIN(F14,B14)</x:f>
        <x:v>0.013966153413080943</x:v>
      </x:c>
      <x:c r="I14" s="26" t="n">
        <x:f>MAX(G14,C14)</x:f>
        <x:v>0.7562152622858658</x:v>
      </x:c>
      <x:c r="J14" s="26" t="n">
        <x:f>MAX(D14,H14)</x:f>
        <x:v>0.013966153413080943</x:v>
      </x:c>
      <x:c r="K14" s="26" t="n">
        <x:f>MIN(E14,I14)</x:f>
        <x:v>-0.012558172323239686</x:v>
      </x:c>
      <x:c r="P14" s="26" t="n">
        <x:v>5</x:v>
      </x:c>
      <x:c r="Q14" s="26" t="n">
        <x:v>0.013966153413080943</x:v>
      </x:c>
      <x:c r="R14" s="26" t="n">
        <x:v>-0.012558172323239686</x:v>
      </x:c>
      <x:c r="S14" s="26" t="n">
        <x:v>0.013966153413080943</x:v>
      </x:c>
      <x:c r="T14" s="26" t="n">
        <x:v>-0.012558172323239686</x:v>
      </x:c>
      <x:c r="U14" s="26" t="n">
        <x:v>1.2437847377141342</x:v>
      </x:c>
      <x:c r="V14" s="26" t="n">
        <x:v>0.7562152622858658</x:v>
      </x:c>
    </x:row>
    <x:row r="15">
      <x:c r="A15" s="26" t="n">
        <x:v>5.5</x:v>
      </x:c>
      <x:c r="B15" s="26" t="n">
        <x:f>(A15/$N$3)^2</x:f>
        <x:v>0.016899045629827945</x:v>
      </x:c>
      <x:c r="C15" s="26" t="n">
        <x:f>0-(A15/$N$4)^2</x:f>
        <x:v>-0.015195388511120018</x:v>
      </x:c>
      <x:c r="D15" s="26" t="n">
        <x:f>MIN(B15,$N$5)</x:f>
        <x:v>0.016899045629827945</x:v>
      </x:c>
      <x:c r="E15" s="26" t="n">
        <x:f>IF(A15&lt;=$N$7,MAX(C15,$N$6),MAX(C15,$N$6*($N$8-A15)/($N$8-$N$7)))</x:f>
        <x:v>-0.015195388511120018</x:v>
      </x:c>
      <x:c r="F15" s="26" t="n">
        <x:f>IF(A15&lt;=$N$7,1+$N$9*A15/$N$7,$N$10+(A15-$N$7)*($N$12-$N$10)/($N$8-$N$7))</x:f>
        <x:v>1.2681632114855477</x:v>
      </x:c>
      <x:c r="G15" s="26" t="n">
        <x:f>IF(A15&lt;=$N$7,1-$N$9*A15/$N$7,$N$11+(A15-$N$7)*($N$13-$N$11)/($N$8-$N$7))</x:f>
        <x:v>0.7318367885144523</x:v>
      </x:c>
      <x:c r="H15" s="26" t="n">
        <x:f>MIN(F15,B15)</x:f>
        <x:v>0.016899045629827945</x:v>
      </x:c>
      <x:c r="I15" s="26" t="n">
        <x:f>MAX(G15,C15)</x:f>
        <x:v>0.7318367885144523</x:v>
      </x:c>
      <x:c r="J15" s="26" t="n">
        <x:f>MAX(D15,H15)</x:f>
        <x:v>0.016899045629827945</x:v>
      </x:c>
      <x:c r="K15" s="26" t="n">
        <x:f>MIN(E15,I15)</x:f>
        <x:v>-0.015195388511120018</x:v>
      </x:c>
      <x:c r="P15" s="26" t="n">
        <x:v>5.5</x:v>
      </x:c>
      <x:c r="Q15" s="26" t="n">
        <x:v>0.016899045629827945</x:v>
      </x:c>
      <x:c r="R15" s="26" t="n">
        <x:v>-0.015195388511120018</x:v>
      </x:c>
      <x:c r="S15" s="26" t="n">
        <x:v>0.016899045629827945</x:v>
      </x:c>
      <x:c r="T15" s="26" t="n">
        <x:v>-0.015195388511120018</x:v>
      </x:c>
      <x:c r="U15" s="26" t="n">
        <x:v>1.2681632114855477</x:v>
      </x:c>
      <x:c r="V15" s="26" t="n">
        <x:v>0.7318367885144523</x:v>
      </x:c>
    </x:row>
    <x:row r="16">
      <x:c r="A16" s="26" t="n">
        <x:v>6</x:v>
      </x:c>
      <x:c r="B16" s="26" t="n">
        <x:f>(A16/$N$3)^2</x:f>
        <x:v>0.020111260914836556</x:v>
      </x:c>
      <x:c r="C16" s="26" t="n">
        <x:f>0-(A16/$N$4)^2</x:f>
        <x:v>-0.01808376814546515</x:v>
      </x:c>
      <x:c r="D16" s="26" t="n">
        <x:f>MIN(B16,$N$5)</x:f>
        <x:v>0.020111260914836556</x:v>
      </x:c>
      <x:c r="E16" s="26" t="n">
        <x:f>IF(A16&lt;=$N$7,MAX(C16,$N$6),MAX(C16,$N$6*($N$8-A16)/($N$8-$N$7)))</x:f>
        <x:v>-0.01808376814546515</x:v>
      </x:c>
      <x:c r="F16" s="26" t="n">
        <x:f>IF(A16&lt;=$N$7,1+$N$9*A16/$N$7,$N$10+(A16-$N$7)*($N$12-$N$10)/($N$8-$N$7))</x:f>
        <x:v>1.2925416852569611</x:v>
      </x:c>
      <x:c r="G16" s="26" t="n">
        <x:f>IF(A16&lt;=$N$7,1-$N$9*A16/$N$7,$N$11+(A16-$N$7)*($N$13-$N$11)/($N$8-$N$7))</x:f>
        <x:v>0.7074583147430389</x:v>
      </x:c>
      <x:c r="H16" s="26" t="n">
        <x:f>MIN(F16,B16)</x:f>
        <x:v>0.020111260914836556</x:v>
      </x:c>
      <x:c r="I16" s="26" t="n">
        <x:f>MAX(G16,C16)</x:f>
        <x:v>0.7074583147430389</x:v>
      </x:c>
      <x:c r="J16" s="26" t="n">
        <x:f>MAX(D16,H16)</x:f>
        <x:v>0.020111260914836556</x:v>
      </x:c>
      <x:c r="K16" s="26" t="n">
        <x:f>MIN(E16,I16)</x:f>
        <x:v>-0.01808376814546515</x:v>
      </x:c>
      <x:c r="P16" s="26" t="n">
        <x:v>6</x:v>
      </x:c>
      <x:c r="Q16" s="26" t="n">
        <x:v>0.020111260914836556</x:v>
      </x:c>
      <x:c r="R16" s="26" t="n">
        <x:v>-0.01808376814546515</x:v>
      </x:c>
      <x:c r="S16" s="26" t="n">
        <x:v>0.020111260914836556</x:v>
      </x:c>
      <x:c r="T16" s="26" t="n">
        <x:v>-0.01808376814546515</x:v>
      </x:c>
      <x:c r="U16" s="26" t="n">
        <x:v>1.2925416852569611</x:v>
      </x:c>
      <x:c r="V16" s="26" t="n">
        <x:v>0.7074583147430389</x:v>
      </x:c>
    </x:row>
    <x:row r="17">
      <x:c r="A17" s="26" t="n">
        <x:v>6.5</x:v>
      </x:c>
      <x:c r="B17" s="26" t="n">
        <x:f>(A17/$N$3)^2</x:f>
        <x:v>0.023602799268106794</x:v>
      </x:c>
      <x:c r="C17" s="26" t="n">
        <x:f>0-(A17/$N$4)^2</x:f>
        <x:v>-0.021223311226275066</x:v>
      </x:c>
      <x:c r="D17" s="26" t="n">
        <x:f>MIN(B17,$N$5)</x:f>
        <x:v>0.023602799268106794</x:v>
      </x:c>
      <x:c r="E17" s="26" t="n">
        <x:f>IF(A17&lt;=$N$7,MAX(C17,$N$6),MAX(C17,$N$6*($N$8-A17)/($N$8-$N$7)))</x:f>
        <x:v>-0.021223311226275066</x:v>
      </x:c>
      <x:c r="F17" s="26" t="n">
        <x:f>IF(A17&lt;=$N$7,1+$N$9*A17/$N$7,$N$10+(A17-$N$7)*($N$12-$N$10)/($N$8-$N$7))</x:f>
        <x:v>1.3169201590283746</x:v>
      </x:c>
      <x:c r="G17" s="26" t="n">
        <x:f>IF(A17&lt;=$N$7,1-$N$9*A17/$N$7,$N$11+(A17-$N$7)*($N$13-$N$11)/($N$8-$N$7))</x:f>
        <x:v>0.6830798409716254</x:v>
      </x:c>
      <x:c r="H17" s="26" t="n">
        <x:f>MIN(F17,B17)</x:f>
        <x:v>0.023602799268106794</x:v>
      </x:c>
      <x:c r="I17" s="26" t="n">
        <x:f>MAX(G17,C17)</x:f>
        <x:v>0.6830798409716254</x:v>
      </x:c>
      <x:c r="J17" s="26" t="n">
        <x:f>MAX(D17,H17)</x:f>
        <x:v>0.023602799268106794</x:v>
      </x:c>
      <x:c r="K17" s="26" t="n">
        <x:f>MIN(E17,I17)</x:f>
        <x:v>-0.021223311226275066</x:v>
      </x:c>
      <x:c r="P17" s="26" t="n">
        <x:v>6.5</x:v>
      </x:c>
      <x:c r="Q17" s="26" t="n">
        <x:v>0.023602799268106794</x:v>
      </x:c>
      <x:c r="R17" s="26" t="n">
        <x:v>-0.021223311226275066</x:v>
      </x:c>
      <x:c r="S17" s="26" t="n">
        <x:v>0.023602799268106794</x:v>
      </x:c>
      <x:c r="T17" s="26" t="n">
        <x:v>-0.021223311226275066</x:v>
      </x:c>
      <x:c r="U17" s="26" t="n">
        <x:v>1.3169201590283746</x:v>
      </x:c>
      <x:c r="V17" s="26" t="n">
        <x:v>0.6830798409716254</x:v>
      </x:c>
    </x:row>
    <x:row r="18">
      <x:c r="A18" s="26" t="n">
        <x:v>7</x:v>
      </x:c>
      <x:c r="B18" s="26" t="n">
        <x:f>(A18/$N$3)^2</x:f>
        <x:v>0.027373660689638653</x:v>
      </x:c>
      <x:c r="C18" s="26" t="n">
        <x:f>0-(A18/$N$4)^2</x:f>
        <x:v>-0.024614017753549784</x:v>
      </x:c>
      <x:c r="D18" s="26" t="n">
        <x:f>MIN(B18,$N$5)</x:f>
        <x:v>0.027373660689638653</x:v>
      </x:c>
      <x:c r="E18" s="26" t="n">
        <x:f>IF(A18&lt;=$N$7,MAX(C18,$N$6),MAX(C18,$N$6*($N$8-A18)/($N$8-$N$7)))</x:f>
        <x:v>-0.024614017753549784</x:v>
      </x:c>
      <x:c r="F18" s="26" t="n">
        <x:f>IF(A18&lt;=$N$7,1+$N$9*A18/$N$7,$N$10+(A18-$N$7)*($N$12-$N$10)/($N$8-$N$7))</x:f>
        <x:v>1.341298632799788</x:v>
      </x:c>
      <x:c r="G18" s="26" t="n">
        <x:f>IF(A18&lt;=$N$7,1-$N$9*A18/$N$7,$N$11+(A18-$N$7)*($N$13-$N$11)/($N$8-$N$7))</x:f>
        <x:v>0.658701367200212</x:v>
      </x:c>
      <x:c r="H18" s="26" t="n">
        <x:f>MIN(F18,B18)</x:f>
        <x:v>0.027373660689638653</x:v>
      </x:c>
      <x:c r="I18" s="26" t="n">
        <x:f>MAX(G18,C18)</x:f>
        <x:v>0.658701367200212</x:v>
      </x:c>
      <x:c r="J18" s="26" t="n">
        <x:f>MAX(D18,H18)</x:f>
        <x:v>0.027373660689638653</x:v>
      </x:c>
      <x:c r="K18" s="26" t="n">
        <x:f>MIN(E18,I18)</x:f>
        <x:v>-0.024614017753549784</x:v>
      </x:c>
      <x:c r="P18" s="26" t="n">
        <x:v>7</x:v>
      </x:c>
      <x:c r="Q18" s="26" t="n">
        <x:v>0.027373660689638653</x:v>
      </x:c>
      <x:c r="R18" s="26" t="n">
        <x:v>-0.024614017753549784</x:v>
      </x:c>
      <x:c r="S18" s="26" t="n">
        <x:v>0.027373660689638653</x:v>
      </x:c>
      <x:c r="T18" s="26" t="n">
        <x:v>-0.024614017753549784</x:v>
      </x:c>
      <x:c r="U18" s="26" t="n">
        <x:v>1.341298632799788</x:v>
      </x:c>
      <x:c r="V18" s="26" t="n">
        <x:v>0.658701367200212</x:v>
      </x:c>
    </x:row>
    <x:row r="19">
      <x:c r="A19" s="26" t="n">
        <x:v>7.5</x:v>
      </x:c>
      <x:c r="B19" s="26" t="n">
        <x:f>(A19/$N$3)^2</x:f>
        <x:v>0.03142384517943213</x:v>
      </x:c>
      <x:c r="C19" s="26" t="n">
        <x:f>0-(A19/$N$4)^2</x:f>
        <x:v>-0.028255887727289285</x:v>
      </x:c>
      <x:c r="D19" s="26" t="n">
        <x:f>MIN(B19,$N$5)</x:f>
        <x:v>0.03142384517943213</x:v>
      </x:c>
      <x:c r="E19" s="26" t="n">
        <x:f>IF(A19&lt;=$N$7,MAX(C19,$N$6),MAX(C19,$N$6*($N$8-A19)/($N$8-$N$7)))</x:f>
        <x:v>-0.028255887727289285</x:v>
      </x:c>
      <x:c r="F19" s="26" t="n">
        <x:f>IF(A19&lt;=$N$7,1+$N$9*A19/$N$7,$N$10+(A19-$N$7)*($N$12-$N$10)/($N$8-$N$7))</x:f>
        <x:v>1.3656771065712014</x:v>
      </x:c>
      <x:c r="G19" s="26" t="n">
        <x:f>IF(A19&lt;=$N$7,1-$N$9*A19/$N$7,$N$11+(A19-$N$7)*($N$13-$N$11)/($N$8-$N$7))</x:f>
        <x:v>0.6343228934287986</x:v>
      </x:c>
      <x:c r="H19" s="26" t="n">
        <x:f>MIN(F19,B19)</x:f>
        <x:v>0.03142384517943213</x:v>
      </x:c>
      <x:c r="I19" s="26" t="n">
        <x:f>MAX(G19,C19)</x:f>
        <x:v>0.6343228934287986</x:v>
      </x:c>
      <x:c r="J19" s="26" t="n">
        <x:f>MAX(D19,H19)</x:f>
        <x:v>0.03142384517943213</x:v>
      </x:c>
      <x:c r="K19" s="26" t="n">
        <x:f>MIN(E19,I19)</x:f>
        <x:v>-0.028255887727289285</x:v>
      </x:c>
      <x:c r="P19" s="26" t="n">
        <x:v>7.5</x:v>
      </x:c>
      <x:c r="Q19" s="26" t="n">
        <x:v>0.03142384517943213</x:v>
      </x:c>
      <x:c r="R19" s="26" t="n">
        <x:v>-0.028255887727289285</x:v>
      </x:c>
      <x:c r="S19" s="26" t="n">
        <x:v>0.03142384517943213</x:v>
      </x:c>
      <x:c r="T19" s="26" t="n">
        <x:v>-0.028255887727289285</x:v>
      </x:c>
      <x:c r="U19" s="26" t="n">
        <x:v>1.3656771065712014</x:v>
      </x:c>
      <x:c r="V19" s="26" t="n">
        <x:v>0.6343228934287987</x:v>
      </x:c>
    </x:row>
    <x:row r="20">
      <x:c r="A20" s="26" t="n">
        <x:v>8</x:v>
      </x:c>
      <x:c r="B20" s="26" t="n">
        <x:f>(A20/$N$3)^2</x:f>
        <x:v>0.03575335273748721</x:v>
      </x:c>
      <x:c r="C20" s="26" t="n">
        <x:f>0-(A20/$N$4)^2</x:f>
        <x:v>-0.03214892114749359</x:v>
      </x:c>
      <x:c r="D20" s="26" t="n">
        <x:f>MIN(B20,$N$5)</x:f>
        <x:v>0.03575335273748721</x:v>
      </x:c>
      <x:c r="E20" s="26" t="n">
        <x:f>IF(A20&lt;=$N$7,MAX(C20,$N$6),MAX(C20,$N$6*($N$8-A20)/($N$8-$N$7)))</x:f>
        <x:v>-0.03214892114749359</x:v>
      </x:c>
      <x:c r="F20" s="26" t="n">
        <x:f>IF(A20&lt;=$N$7,1+$N$9*A20/$N$7,$N$10+(A20-$N$7)*($N$12-$N$10)/($N$8-$N$7))</x:f>
        <x:v>1.3900555803426147</x:v>
      </x:c>
      <x:c r="G20" s="26" t="n">
        <x:f>IF(A20&lt;=$N$7,1-$N$9*A20/$N$7,$N$11+(A20-$N$7)*($N$13-$N$11)/($N$8-$N$7))</x:f>
        <x:v>0.6099444196573852</x:v>
      </x:c>
      <x:c r="H20" s="26" t="n">
        <x:f>MIN(F20,B20)</x:f>
        <x:v>0.03575335273748721</x:v>
      </x:c>
      <x:c r="I20" s="26" t="n">
        <x:f>MAX(G20,C20)</x:f>
        <x:v>0.6099444196573852</x:v>
      </x:c>
      <x:c r="J20" s="26" t="n">
        <x:f>MAX(D20,H20)</x:f>
        <x:v>0.03575335273748721</x:v>
      </x:c>
      <x:c r="K20" s="26" t="n">
        <x:f>MIN(E20,I20)</x:f>
        <x:v>-0.03214892114749359</x:v>
      </x:c>
      <x:c r="P20" s="26" t="n">
        <x:v>8</x:v>
      </x:c>
      <x:c r="Q20" s="26" t="n">
        <x:v>0.03575335273748721</x:v>
      </x:c>
      <x:c r="R20" s="26" t="n">
        <x:v>-0.03214892114749359</x:v>
      </x:c>
      <x:c r="S20" s="26" t="n">
        <x:v>0.03575335273748721</x:v>
      </x:c>
      <x:c r="T20" s="26" t="n">
        <x:v>-0.03214892114749359</x:v>
      </x:c>
      <x:c r="U20" s="26" t="n">
        <x:v>1.3900555803426147</x:v>
      </x:c>
      <x:c r="V20" s="26" t="n">
        <x:v>0.6099444196573852</x:v>
      </x:c>
    </x:row>
    <x:row r="21">
      <x:c r="A21" s="26" t="n">
        <x:v>8.5</x:v>
      </x:c>
      <x:c r="B21" s="26" t="n">
        <x:f>(A21/$N$3)^2</x:f>
        <x:v>0.04036218336380393</x:v>
      </x:c>
      <x:c r="C21" s="26" t="n">
        <x:f>0-(A21/$N$4)^2</x:f>
        <x:v>-0.03629311801416269</x:v>
      </x:c>
      <x:c r="D21" s="26" t="n">
        <x:f>MIN(B21,$N$5)</x:f>
        <x:v>0.04036218336380393</x:v>
      </x:c>
      <x:c r="E21" s="26" t="n">
        <x:f>IF(A21&lt;=$N$7,MAX(C21,$N$6),MAX(C21,$N$6*($N$8-A21)/($N$8-$N$7)))</x:f>
        <x:v>-0.03629311801416269</x:v>
      </x:c>
      <x:c r="F21" s="26" t="n">
        <x:f>IF(A21&lt;=$N$7,1+$N$9*A21/$N$7,$N$10+(A21-$N$7)*($N$12-$N$10)/($N$8-$N$7))</x:f>
        <x:v>1.4144340541140281</x:v>
      </x:c>
      <x:c r="G21" s="26" t="n">
        <x:f>IF(A21&lt;=$N$7,1-$N$9*A21/$N$7,$N$11+(A21-$N$7)*($N$13-$N$11)/($N$8-$N$7))</x:f>
        <x:v>0.5855659458859719</x:v>
      </x:c>
      <x:c r="H21" s="26" t="n">
        <x:f>MIN(F21,B21)</x:f>
        <x:v>0.04036218336380393</x:v>
      </x:c>
      <x:c r="I21" s="26" t="n">
        <x:f>MAX(G21,C21)</x:f>
        <x:v>0.5855659458859719</x:v>
      </x:c>
      <x:c r="J21" s="26" t="n">
        <x:f>MAX(D21,H21)</x:f>
        <x:v>0.04036218336380393</x:v>
      </x:c>
      <x:c r="K21" s="26" t="n">
        <x:f>MIN(E21,I21)</x:f>
        <x:v>-0.03629311801416269</x:v>
      </x:c>
      <x:c r="P21" s="26" t="n">
        <x:v>8.5</x:v>
      </x:c>
      <x:c r="Q21" s="26" t="n">
        <x:v>0.04036218336380393</x:v>
      </x:c>
      <x:c r="R21" s="26" t="n">
        <x:v>-0.03629311801416269</x:v>
      </x:c>
      <x:c r="S21" s="26" t="n">
        <x:v>0.04036218336380393</x:v>
      </x:c>
      <x:c r="T21" s="26" t="n">
        <x:v>-0.03629311801416269</x:v>
      </x:c>
      <x:c r="U21" s="26" t="n">
        <x:v>1.4144340541140283</x:v>
      </x:c>
      <x:c r="V21" s="26" t="n">
        <x:v>0.5855659458859718</x:v>
      </x:c>
    </x:row>
    <x:row r="22">
      <x:c r="A22" s="26" t="n">
        <x:v>9</x:v>
      </x:c>
      <x:c r="B22" s="26" t="n">
        <x:f>(A22/$N$3)^2</x:f>
        <x:v>0.04525033705838226</x:v>
      </x:c>
      <x:c r="C22" s="26" t="n">
        <x:f>0-(A22/$N$4)^2</x:f>
        <x:v>-0.04068847832729657</x:v>
      </x:c>
      <x:c r="D22" s="26" t="n">
        <x:f>MIN(B22,$N$5)</x:f>
        <x:v>0.04525033705838226</x:v>
      </x:c>
      <x:c r="E22" s="26" t="n">
        <x:f>IF(A22&lt;=$N$7,MAX(C22,$N$6),MAX(C22,$N$6*($N$8-A22)/($N$8-$N$7)))</x:f>
        <x:v>-0.04068847832729657</x:v>
      </x:c>
      <x:c r="F22" s="26" t="n">
        <x:f>IF(A22&lt;=$N$7,1+$N$9*A22/$N$7,$N$10+(A22-$N$7)*($N$12-$N$10)/($N$8-$N$7))</x:f>
        <x:v>1.4388125278854416</x:v>
      </x:c>
      <x:c r="G22" s="26" t="n">
        <x:f>IF(A22&lt;=$N$7,1-$N$9*A22/$N$7,$N$11+(A22-$N$7)*($N$13-$N$11)/($N$8-$N$7))</x:f>
        <x:v>0.5611874721145584</x:v>
      </x:c>
      <x:c r="H22" s="26" t="n">
        <x:f>MIN(F22,B22)</x:f>
        <x:v>0.04525033705838226</x:v>
      </x:c>
      <x:c r="I22" s="26" t="n">
        <x:f>MAX(G22,C22)</x:f>
        <x:v>0.5611874721145584</x:v>
      </x:c>
      <x:c r="J22" s="26" t="n">
        <x:f>MAX(D22,H22)</x:f>
        <x:v>0.04525033705838226</x:v>
      </x:c>
      <x:c r="K22" s="26" t="n">
        <x:f>MIN(E22,I22)</x:f>
        <x:v>-0.04068847832729657</x:v>
      </x:c>
      <x:c r="P22" s="26" t="n">
        <x:v>9</x:v>
      </x:c>
      <x:c r="Q22" s="26" t="n">
        <x:v>0.04525033705838226</x:v>
      </x:c>
      <x:c r="R22" s="26" t="n">
        <x:v>-0.04068847832729657</x:v>
      </x:c>
      <x:c r="S22" s="26" t="n">
        <x:v>0.04525033705838226</x:v>
      </x:c>
      <x:c r="T22" s="26" t="n">
        <x:v>-0.04068847832729657</x:v>
      </x:c>
      <x:c r="U22" s="26" t="n">
        <x:v>1.4388125278854416</x:v>
      </x:c>
      <x:c r="V22" s="26" t="n">
        <x:v>0.5611874721145584</x:v>
      </x:c>
    </x:row>
    <x:row r="23">
      <x:c r="A23" s="26" t="n">
        <x:v>9.5</x:v>
      </x:c>
      <x:c r="B23" s="26" t="n">
        <x:f>(A23/$N$3)^2</x:f>
        <x:v>0.050417813821222214</x:v>
      </x:c>
      <x:c r="C23" s="26" t="n">
        <x:f>0-(A23/$N$4)^2</x:f>
        <x:v>-0.04533500208689526</x:v>
      </x:c>
      <x:c r="D23" s="26" t="n">
        <x:f>MIN(B23,$N$5)</x:f>
        <x:v>0.050417813821222214</x:v>
      </x:c>
      <x:c r="E23" s="26" t="n">
        <x:f>IF(A23&lt;=$N$7,MAX(C23,$N$6),MAX(C23,$N$6*($N$8-A23)/($N$8-$N$7)))</x:f>
        <x:v>-0.04533500208689526</x:v>
      </x:c>
      <x:c r="F23" s="26" t="n">
        <x:f>IF(A23&lt;=$N$7,1+$N$9*A23/$N$7,$N$10+(A23-$N$7)*($N$12-$N$10)/($N$8-$N$7))</x:f>
        <x:v>1.463191001656855</x:v>
      </x:c>
      <x:c r="G23" s="26" t="n">
        <x:f>IF(A23&lt;=$N$7,1-$N$9*A23/$N$7,$N$11+(A23-$N$7)*($N$13-$N$11)/($N$8-$N$7))</x:f>
        <x:v>0.536808998343145</x:v>
      </x:c>
      <x:c r="H23" s="26" t="n">
        <x:f>MIN(F23,B23)</x:f>
        <x:v>0.050417813821222214</x:v>
      </x:c>
      <x:c r="I23" s="26" t="n">
        <x:f>MAX(G23,C23)</x:f>
        <x:v>0.536808998343145</x:v>
      </x:c>
      <x:c r="J23" s="26" t="n">
        <x:f>MAX(D23,H23)</x:f>
        <x:v>0.050417813821222214</x:v>
      </x:c>
      <x:c r="K23" s="26" t="n">
        <x:f>MIN(E23,I23)</x:f>
        <x:v>-0.04533500208689526</x:v>
      </x:c>
      <x:c r="P23" s="26" t="n">
        <x:v>9.5</x:v>
      </x:c>
      <x:c r="Q23" s="26" t="n">
        <x:v>0.050417813821222214</x:v>
      </x:c>
      <x:c r="R23" s="26" t="n">
        <x:v>-0.04533500208689526</x:v>
      </x:c>
      <x:c r="S23" s="26" t="n">
        <x:v>0.050417813821222214</x:v>
      </x:c>
      <x:c r="T23" s="26" t="n">
        <x:v>-0.04533500208689526</x:v>
      </x:c>
      <x:c r="U23" s="26" t="n">
        <x:v>1.463191001656855</x:v>
      </x:c>
      <x:c r="V23" s="26" t="n">
        <x:v>0.536808998343145</x:v>
      </x:c>
    </x:row>
    <x:row r="24">
      <x:c r="A24" s="26" t="n">
        <x:v>10</x:v>
      </x:c>
      <x:c r="B24" s="26" t="n">
        <x:f>(A24/$N$3)^2</x:f>
        <x:v>0.05586461365232377</x:v>
      </x:c>
      <x:c r="C24" s="26" t="n">
        <x:f>0-(A24/$N$4)^2</x:f>
        <x:v>-0.050232689292958745</x:v>
      </x:c>
      <x:c r="D24" s="26" t="n">
        <x:f>MIN(B24,$N$5)</x:f>
        <x:v>0.05586461365232377</x:v>
      </x:c>
      <x:c r="E24" s="26" t="n">
        <x:f>IF(A24&lt;=$N$7,MAX(C24,$N$6),MAX(C24,$N$6*($N$8-A24)/($N$8-$N$7)))</x:f>
        <x:v>-0.050232689292958745</x:v>
      </x:c>
      <x:c r="F24" s="26" t="n">
        <x:f>IF(A24&lt;=$N$7,1+$N$9*A24/$N$7,$N$10+(A24-$N$7)*($N$12-$N$10)/($N$8-$N$7))</x:f>
        <x:v>1.4875694754282685</x:v>
      </x:c>
      <x:c r="G24" s="26" t="n">
        <x:f>IF(A24&lt;=$N$7,1-$N$9*A24/$N$7,$N$11+(A24-$N$7)*($N$13-$N$11)/($N$8-$N$7))</x:f>
        <x:v>0.5124305245717315</x:v>
      </x:c>
      <x:c r="H24" s="26" t="n">
        <x:f>MIN(F24,B24)</x:f>
        <x:v>0.05586461365232377</x:v>
      </x:c>
      <x:c r="I24" s="26" t="n">
        <x:f>MAX(G24,C24)</x:f>
        <x:v>0.5124305245717315</x:v>
      </x:c>
      <x:c r="J24" s="26" t="n">
        <x:f>MAX(D24,H24)</x:f>
        <x:v>0.05586461365232377</x:v>
      </x:c>
      <x:c r="K24" s="26" t="n">
        <x:f>MIN(E24,I24)</x:f>
        <x:v>-0.050232689292958745</x:v>
      </x:c>
      <x:c r="P24" s="26" t="n">
        <x:v>10</x:v>
      </x:c>
      <x:c r="Q24" s="26" t="n">
        <x:v>0.05586461365232377</x:v>
      </x:c>
      <x:c r="R24" s="26" t="n">
        <x:v>-0.050232689292958745</x:v>
      </x:c>
      <x:c r="S24" s="26" t="n">
        <x:v>0.05586461365232377</x:v>
      </x:c>
      <x:c r="T24" s="26" t="n">
        <x:v>-0.050232689292958745</x:v>
      </x:c>
      <x:c r="U24" s="26" t="n">
        <x:v>1.4875694754282685</x:v>
      </x:c>
      <x:c r="V24" s="26" t="n">
        <x:v>0.5124305245717315</x:v>
      </x:c>
    </x:row>
    <x:row r="25">
      <x:c r="A25" s="26" t="n">
        <x:v>10.5</x:v>
      </x:c>
      <x:c r="B25" s="26" t="n">
        <x:f>(A25/$N$3)^2</x:f>
        <x:v>0.06159073655168696</x:v>
      </x:c>
      <x:c r="C25" s="26" t="n">
        <x:f>0-(A25/$N$4)^2</x:f>
        <x:v>-0.05538153994548701</x:v>
      </x:c>
      <x:c r="D25" s="26" t="n">
        <x:f>MIN(B25,$N$5)</x:f>
        <x:v>0.06159073655168696</x:v>
      </x:c>
      <x:c r="E25" s="26" t="n">
        <x:f>IF(A25&lt;=$N$7,MAX(C25,$N$6),MAX(C25,$N$6*($N$8-A25)/($N$8-$N$7)))</x:f>
        <x:v>-0.05538153994548701</x:v>
      </x:c>
      <x:c r="F25" s="26" t="n">
        <x:f>IF(A25&lt;=$N$7,1+$N$9*A25/$N$7,$N$10+(A25-$N$7)*($N$12-$N$10)/($N$8-$N$7))</x:f>
        <x:v>1.511947949199682</x:v>
      </x:c>
      <x:c r="G25" s="26" t="n">
        <x:f>IF(A25&lt;=$N$7,1-$N$9*A25/$N$7,$N$11+(A25-$N$7)*($N$13-$N$11)/($N$8-$N$7))</x:f>
        <x:v>0.4880520508003181</x:v>
      </x:c>
      <x:c r="H25" s="26" t="n">
        <x:f>MIN(F25,B25)</x:f>
        <x:v>0.06159073655168696</x:v>
      </x:c>
      <x:c r="I25" s="26" t="n">
        <x:f>MAX(G25,C25)</x:f>
        <x:v>0.4880520508003181</x:v>
      </x:c>
      <x:c r="J25" s="26" t="n">
        <x:f>MAX(D25,H25)</x:f>
        <x:v>0.06159073655168696</x:v>
      </x:c>
      <x:c r="K25" s="26" t="n">
        <x:f>MIN(E25,I25)</x:f>
        <x:v>-0.05538153994548701</x:v>
      </x:c>
      <x:c r="P25" s="26" t="n">
        <x:v>10.5</x:v>
      </x:c>
      <x:c r="Q25" s="26" t="n">
        <x:v>0.06159073655168696</x:v>
      </x:c>
      <x:c r="R25" s="26" t="n">
        <x:v>-0.05538153994548701</x:v>
      </x:c>
      <x:c r="S25" s="26" t="n">
        <x:v>0.06159073655168696</x:v>
      </x:c>
      <x:c r="T25" s="26" t="n">
        <x:v>-0.05538153994548701</x:v>
      </x:c>
      <x:c r="U25" s="26" t="n">
        <x:v>1.511947949199682</x:v>
      </x:c>
      <x:c r="V25" s="26" t="n">
        <x:v>0.4880520508003181</x:v>
      </x:c>
    </x:row>
    <x:row r="26">
      <x:c r="A26" s="26" t="n">
        <x:v>11</x:v>
      </x:c>
      <x:c r="B26" s="26" t="n">
        <x:f>(A26/$N$3)^2</x:f>
        <x:v>0.06759618251931178</x:v>
      </x:c>
      <x:c r="C26" s="26" t="n">
        <x:f>0-(A26/$N$4)^2</x:f>
        <x:v>-0.060781554044480074</x:v>
      </x:c>
      <x:c r="D26" s="26" t="n">
        <x:f>MIN(B26,$N$5)</x:f>
        <x:v>0.06759618251931178</x:v>
      </x:c>
      <x:c r="E26" s="26" t="n">
        <x:f>IF(A26&lt;=$N$7,MAX(C26,$N$6),MAX(C26,$N$6*($N$8-A26)/($N$8-$N$7)))</x:f>
        <x:v>-0.060781554044480074</x:v>
      </x:c>
      <x:c r="F26" s="26" t="n">
        <x:f>IF(A26&lt;=$N$7,1+$N$9*A26/$N$7,$N$10+(A26-$N$7)*($N$12-$N$10)/($N$8-$N$7))</x:f>
        <x:v>1.5363264229710953</x:v>
      </x:c>
      <x:c r="G26" s="26" t="n">
        <x:f>IF(A26&lt;=$N$7,1-$N$9*A26/$N$7,$N$11+(A26-$N$7)*($N$13-$N$11)/($N$8-$N$7))</x:f>
        <x:v>0.46367357702890466</x:v>
      </x:c>
      <x:c r="H26" s="26" t="n">
        <x:f>MIN(F26,B26)</x:f>
        <x:v>0.06759618251931178</x:v>
      </x:c>
      <x:c r="I26" s="26" t="n">
        <x:f>MAX(G26,C26)</x:f>
        <x:v>0.46367357702890466</x:v>
      </x:c>
      <x:c r="J26" s="26" t="n">
        <x:f>MAX(D26,H26)</x:f>
        <x:v>0.06759618251931178</x:v>
      </x:c>
      <x:c r="K26" s="26" t="n">
        <x:f>MIN(E26,I26)</x:f>
        <x:v>-0.060781554044480074</x:v>
      </x:c>
      <x:c r="P26" s="26" t="n">
        <x:v>11</x:v>
      </x:c>
      <x:c r="Q26" s="26" t="n">
        <x:v>0.06759618251931178</x:v>
      </x:c>
      <x:c r="R26" s="26" t="n">
        <x:v>-0.060781554044480074</x:v>
      </x:c>
      <x:c r="S26" s="26" t="n">
        <x:v>0.06759618251931178</x:v>
      </x:c>
      <x:c r="T26" s="26" t="n">
        <x:v>-0.060781554044480074</x:v>
      </x:c>
      <x:c r="U26" s="26" t="n">
        <x:v>1.5363264229710953</x:v>
      </x:c>
      <x:c r="V26" s="26" t="n">
        <x:v>0.46367357702890466</x:v>
      </x:c>
    </x:row>
    <x:row r="27">
      <x:c r="A27" s="26" t="n">
        <x:v>11.5</x:v>
      </x:c>
      <x:c r="B27" s="26" t="n">
        <x:f>(A27/$N$3)^2</x:f>
        <x:v>0.0738809515551982</x:v>
      </x:c>
      <x:c r="C27" s="26" t="n">
        <x:f>0-(A27/$N$4)^2</x:f>
        <x:v>-0.06643273158993794</x:v>
      </x:c>
      <x:c r="D27" s="26" t="n">
        <x:f>MIN(B27,$N$5)</x:f>
        <x:v>0.0738809515551982</x:v>
      </x:c>
      <x:c r="E27" s="26" t="n">
        <x:f>IF(A27&lt;=$N$7,MAX(C27,$N$6),MAX(C27,$N$6*($N$8-A27)/($N$8-$N$7)))</x:f>
        <x:v>-0.06643273158993794</x:v>
      </x:c>
      <x:c r="F27" s="26" t="n">
        <x:f>IF(A27&lt;=$N$7,1+$N$9*A27/$N$7,$N$10+(A27-$N$7)*($N$12-$N$10)/($N$8-$N$7))</x:f>
        <x:v>1.5607048967425088</x:v>
      </x:c>
      <x:c r="G27" s="26" t="n">
        <x:f>IF(A27&lt;=$N$7,1-$N$9*A27/$N$7,$N$11+(A27-$N$7)*($N$13-$N$11)/($N$8-$N$7))</x:f>
        <x:v>0.4392951032574912</x:v>
      </x:c>
      <x:c r="H27" s="26" t="n">
        <x:f>MIN(F27,B27)</x:f>
        <x:v>0.0738809515551982</x:v>
      </x:c>
      <x:c r="I27" s="26" t="n">
        <x:f>MAX(G27,C27)</x:f>
        <x:v>0.4392951032574912</x:v>
      </x:c>
      <x:c r="J27" s="26" t="n">
        <x:f>MAX(D27,H27)</x:f>
        <x:v>0.0738809515551982</x:v>
      </x:c>
      <x:c r="K27" s="26" t="n">
        <x:f>MIN(E27,I27)</x:f>
        <x:v>-0.06643273158993794</x:v>
      </x:c>
      <x:c r="P27" s="26" t="n">
        <x:v>11.5</x:v>
      </x:c>
      <x:c r="Q27" s="26" t="n">
        <x:v>0.0738809515551982</x:v>
      </x:c>
      <x:c r="R27" s="26" t="n">
        <x:v>-0.06643273158993794</x:v>
      </x:c>
      <x:c r="S27" s="26" t="n">
        <x:v>0.0738809515551982</x:v>
      </x:c>
      <x:c r="T27" s="26" t="n">
        <x:v>-0.06643273158993794</x:v>
      </x:c>
      <x:c r="U27" s="26" t="n">
        <x:v>1.5607048967425088</x:v>
      </x:c>
      <x:c r="V27" s="26" t="n">
        <x:v>0.4392951032574912</x:v>
      </x:c>
    </x:row>
    <x:row r="28">
      <x:c r="A28" s="26" t="n">
        <x:v>12</x:v>
      </x:c>
      <x:c r="B28" s="26" t="n">
        <x:f>(A28/$N$3)^2</x:f>
        <x:v>0.08044504365934622</x:v>
      </x:c>
      <x:c r="C28" s="26" t="n">
        <x:f>0-(A28/$N$4)^2</x:f>
        <x:v>-0.0723350725818606</x:v>
      </x:c>
      <x:c r="D28" s="26" t="n">
        <x:f>MIN(B28,$N$5)</x:f>
        <x:v>0.08044504365934622</x:v>
      </x:c>
      <x:c r="E28" s="26" t="n">
        <x:f>IF(A28&lt;=$N$7,MAX(C28,$N$6),MAX(C28,$N$6*($N$8-A28)/($N$8-$N$7)))</x:f>
        <x:v>-0.0723350725818606</x:v>
      </x:c>
      <x:c r="F28" s="26" t="n">
        <x:f>IF(A28&lt;=$N$7,1+$N$9*A28/$N$7,$N$10+(A28-$N$7)*($N$12-$N$10)/($N$8-$N$7))</x:f>
        <x:v>1.5850833705139222</x:v>
      </x:c>
      <x:c r="G28" s="26" t="n">
        <x:f>IF(A28&lt;=$N$7,1-$N$9*A28/$N$7,$N$11+(A28-$N$7)*($N$13-$N$11)/($N$8-$N$7))</x:f>
        <x:v>0.4149166294860779</x:v>
      </x:c>
      <x:c r="H28" s="26" t="n">
        <x:f>MIN(F28,B28)</x:f>
        <x:v>0.08044504365934622</x:v>
      </x:c>
      <x:c r="I28" s="26" t="n">
        <x:f>MAX(G28,C28)</x:f>
        <x:v>0.4149166294860779</x:v>
      </x:c>
      <x:c r="J28" s="26" t="n">
        <x:f>MAX(D28,H28)</x:f>
        <x:v>0.08044504365934622</x:v>
      </x:c>
      <x:c r="K28" s="26" t="n">
        <x:f>MIN(E28,I28)</x:f>
        <x:v>-0.0723350725818606</x:v>
      </x:c>
      <x:c r="P28" s="26" t="n">
        <x:v>12</x:v>
      </x:c>
      <x:c r="Q28" s="26" t="n">
        <x:v>0.08044504365934622</x:v>
      </x:c>
      <x:c r="R28" s="26" t="n">
        <x:v>-0.0723350725818606</x:v>
      </x:c>
      <x:c r="S28" s="26" t="n">
        <x:v>0.08044504365934622</x:v>
      </x:c>
      <x:c r="T28" s="26" t="n">
        <x:v>-0.0723350725818606</x:v>
      </x:c>
      <x:c r="U28" s="26" t="n">
        <x:v>1.5850833705139222</x:v>
      </x:c>
      <x:c r="V28" s="26" t="n">
        <x:v>0.41491662948607777</x:v>
      </x:c>
    </x:row>
    <x:row r="29">
      <x:c r="A29" s="26" t="n">
        <x:v>12.5</x:v>
      </x:c>
      <x:c r="B29" s="26" t="n">
        <x:f>(A29/$N$3)^2</x:f>
        <x:v>0.08728845883175591</x:v>
      </x:c>
      <x:c r="C29" s="26" t="n">
        <x:f>0-(A29/$N$4)^2</x:f>
        <x:v>-0.07848857702024802</x:v>
      </x:c>
      <x:c r="D29" s="26" t="n">
        <x:f>MIN(B29,$N$5)</x:f>
        <x:v>0.08728845883175591</x:v>
      </x:c>
      <x:c r="E29" s="26" t="n">
        <x:f>IF(A29&lt;=$N$7,MAX(C29,$N$6),MAX(C29,$N$6*($N$8-A29)/($N$8-$N$7)))</x:f>
        <x:v>-0.07848857702024802</x:v>
      </x:c>
      <x:c r="F29" s="26" t="n">
        <x:f>IF(A29&lt;=$N$7,1+$N$9*A29/$N$7,$N$10+(A29-$N$7)*($N$12-$N$10)/($N$8-$N$7))</x:f>
        <x:v>1.6094618442853355</x:v>
      </x:c>
      <x:c r="G29" s="26" t="n">
        <x:f>IF(A29&lt;=$N$7,1-$N$9*A29/$N$7,$N$11+(A29-$N$7)*($N$13-$N$11)/($N$8-$N$7))</x:f>
        <x:v>0.39053815571466444</x:v>
      </x:c>
      <x:c r="H29" s="26" t="n">
        <x:f>MIN(F29,B29)</x:f>
        <x:v>0.08728845883175591</x:v>
      </x:c>
      <x:c r="I29" s="26" t="n">
        <x:f>MAX(G29,C29)</x:f>
        <x:v>0.39053815571466444</x:v>
      </x:c>
      <x:c r="J29" s="26" t="n">
        <x:f>MAX(D29,H29)</x:f>
        <x:v>0.08728845883175591</x:v>
      </x:c>
      <x:c r="K29" s="26" t="n">
        <x:f>MIN(E29,I29)</x:f>
        <x:v>-0.07848857702024802</x:v>
      </x:c>
      <x:c r="P29" s="26" t="n">
        <x:v>12.5</x:v>
      </x:c>
      <x:c r="Q29" s="26" t="n">
        <x:v>0.08728845883175591</x:v>
      </x:c>
      <x:c r="R29" s="26" t="n">
        <x:v>-0.07848857702024802</x:v>
      </x:c>
      <x:c r="S29" s="26" t="n">
        <x:v>0.08728845883175591</x:v>
      </x:c>
      <x:c r="T29" s="26" t="n">
        <x:v>-0.07848857702024802</x:v>
      </x:c>
      <x:c r="U29" s="26" t="n">
        <x:v>1.6094618442853355</x:v>
      </x:c>
      <x:c r="V29" s="26" t="n">
        <x:v>0.39053815571466444</x:v>
      </x:c>
    </x:row>
    <x:row r="30">
      <x:c r="A30" s="26" t="n">
        <x:v>13</x:v>
      </x:c>
      <x:c r="B30" s="26" t="n">
        <x:f>(A30/$N$3)^2</x:f>
        <x:v>0.09441119707242718</x:v>
      </x:c>
      <x:c r="C30" s="26" t="n">
        <x:f>0-(A30/$N$4)^2</x:f>
        <x:v>-0.08489324490510027</x:v>
      </x:c>
      <x:c r="D30" s="26" t="n">
        <x:f>MIN(B30,$N$5)</x:f>
        <x:v>0.09441119707242718</x:v>
      </x:c>
      <x:c r="E30" s="26" t="n">
        <x:f>IF(A30&lt;=$N$7,MAX(C30,$N$6),MAX(C30,$N$6*($N$8-A30)/($N$8-$N$7)))</x:f>
        <x:v>-0.08489324490510027</x:v>
      </x:c>
      <x:c r="F30" s="26" t="n">
        <x:f>IF(A30&lt;=$N$7,1+$N$9*A30/$N$7,$N$10+(A30-$N$7)*($N$12-$N$10)/($N$8-$N$7))</x:f>
        <x:v>1.6338403180567491</x:v>
      </x:c>
      <x:c r="G30" s="26" t="n">
        <x:f>IF(A30&lt;=$N$7,1-$N$9*A30/$N$7,$N$11+(A30-$N$7)*($N$13-$N$11)/($N$8-$N$7))</x:f>
        <x:v>0.366159681943251</x:v>
      </x:c>
      <x:c r="H30" s="26" t="n">
        <x:f>MIN(F30,B30)</x:f>
        <x:v>0.09441119707242718</x:v>
      </x:c>
      <x:c r="I30" s="26" t="n">
        <x:f>MAX(G30,C30)</x:f>
        <x:v>0.366159681943251</x:v>
      </x:c>
      <x:c r="J30" s="26" t="n">
        <x:f>MAX(D30,H30)</x:f>
        <x:v>0.09441119707242718</x:v>
      </x:c>
      <x:c r="K30" s="26" t="n">
        <x:f>MIN(E30,I30)</x:f>
        <x:v>-0.08489324490510027</x:v>
      </x:c>
      <x:c r="P30" s="26" t="n">
        <x:v>13</x:v>
      </x:c>
      <x:c r="Q30" s="26" t="n">
        <x:v>0.09441119707242718</x:v>
      </x:c>
      <x:c r="R30" s="26" t="n">
        <x:v>-0.08489324490510027</x:v>
      </x:c>
      <x:c r="S30" s="26" t="n">
        <x:v>0.09441119707242718</x:v>
      </x:c>
      <x:c r="T30" s="26" t="n">
        <x:v>-0.08489324490510027</x:v>
      </x:c>
      <x:c r="U30" s="26" t="n">
        <x:v>1.6338403180567491</x:v>
      </x:c>
      <x:c r="V30" s="26" t="n">
        <x:v>0.366159681943251</x:v>
      </x:c>
    </x:row>
    <x:row r="31">
      <x:c r="A31" s="26" t="n">
        <x:v>13.5</x:v>
      </x:c>
      <x:c r="B31" s="26" t="n">
        <x:f>(A31/$N$3)^2</x:f>
        <x:v>0.10181325838136006</x:v>
      </x:c>
      <x:c r="C31" s="26" t="n">
        <x:f>0-(A31/$N$4)^2</x:f>
        <x:v>-0.0915490762364173</x:v>
      </x:c>
      <x:c r="D31" s="26" t="n">
        <x:f>MIN(B31,$N$5)</x:f>
        <x:v>0.10181325838136006</x:v>
      </x:c>
      <x:c r="E31" s="26" t="n">
        <x:f>IF(A31&lt;=$N$7,MAX(C31,$N$6),MAX(C31,$N$6*($N$8-A31)/($N$8-$N$7)))</x:f>
        <x:v>-0.0915490762364173</x:v>
      </x:c>
      <x:c r="F31" s="26" t="n">
        <x:f>IF(A31&lt;=$N$7,1+$N$9*A31/$N$7,$N$10+(A31-$N$7)*($N$12-$N$10)/($N$8-$N$7))</x:f>
        <x:v>1.6582187918281623</x:v>
      </x:c>
      <x:c r="G31" s="26" t="n">
        <x:f>IF(A31&lt;=$N$7,1-$N$9*A31/$N$7,$N$11+(A31-$N$7)*($N$13-$N$11)/($N$8-$N$7))</x:f>
        <x:v>0.34178120817183755</x:v>
      </x:c>
      <x:c r="H31" s="26" t="n">
        <x:f>MIN(F31,B31)</x:f>
        <x:v>0.10181325838136006</x:v>
      </x:c>
      <x:c r="I31" s="26" t="n">
        <x:f>MAX(G31,C31)</x:f>
        <x:v>0.34178120817183755</x:v>
      </x:c>
      <x:c r="J31" s="26" t="n">
        <x:f>MAX(D31,H31)</x:f>
        <x:v>0.10181325838136006</x:v>
      </x:c>
      <x:c r="K31" s="26" t="n">
        <x:f>MIN(E31,I31)</x:f>
        <x:v>-0.0915490762364173</x:v>
      </x:c>
      <x:c r="P31" s="26" t="n">
        <x:v>13.5</x:v>
      </x:c>
      <x:c r="Q31" s="26" t="n">
        <x:v>0.10181325838136006</x:v>
      </x:c>
      <x:c r="R31" s="26" t="n">
        <x:v>-0.0915490762364173</x:v>
      </x:c>
      <x:c r="S31" s="26" t="n">
        <x:v>0.10181325838136006</x:v>
      </x:c>
      <x:c r="T31" s="26" t="n">
        <x:v>-0.0915490762364173</x:v>
      </x:c>
      <x:c r="U31" s="26" t="n">
        <x:v>1.6582187918281623</x:v>
      </x:c>
      <x:c r="V31" s="26" t="n">
        <x:v>0.34178120817183755</x:v>
      </x:c>
    </x:row>
    <x:row r="32">
      <x:c r="A32" s="26" t="n">
        <x:v>14</x:v>
      </x:c>
      <x:c r="B32" s="26" t="n">
        <x:f>(A32/$N$3)^2</x:f>
        <x:v>0.10949464275855461</x:v>
      </x:c>
      <x:c r="C32" s="26" t="n">
        <x:f>0-(A32/$N$4)^2</x:f>
        <x:v>-0.09845607101419913</x:v>
      </x:c>
      <x:c r="D32" s="26" t="n">
        <x:f>MIN(B32,$N$5)</x:f>
        <x:v>0.10949464275855461</x:v>
      </x:c>
      <x:c r="E32" s="26" t="n">
        <x:f>IF(A32&lt;=$N$7,MAX(C32,$N$6),MAX(C32,$N$6*($N$8-A32)/($N$8-$N$7)))</x:f>
        <x:v>-0.09845607101419913</x:v>
      </x:c>
      <x:c r="F32" s="26" t="n">
        <x:f>IF(A32&lt;=$N$7,1+$N$9*A32/$N$7,$N$10+(A32-$N$7)*($N$12-$N$10)/($N$8-$N$7))</x:f>
        <x:v>1.682597265599576</x:v>
      </x:c>
      <x:c r="G32" s="26" t="n">
        <x:f>IF(A32&lt;=$N$7,1-$N$9*A32/$N$7,$N$11+(A32-$N$7)*($N$13-$N$11)/($N$8-$N$7))</x:f>
        <x:v>0.3174027344004241</x:v>
      </x:c>
      <x:c r="H32" s="26" t="n">
        <x:f>MIN(F32,B32)</x:f>
        <x:v>0.10949464275855461</x:v>
      </x:c>
      <x:c r="I32" s="26" t="n">
        <x:f>MAX(G32,C32)</x:f>
        <x:v>0.3174027344004241</x:v>
      </x:c>
      <x:c r="J32" s="26" t="n">
        <x:f>MAX(D32,H32)</x:f>
        <x:v>0.10949464275855461</x:v>
      </x:c>
      <x:c r="K32" s="26" t="n">
        <x:f>MIN(E32,I32)</x:f>
        <x:v>-0.09845607101419913</x:v>
      </x:c>
      <x:c r="P32" s="26" t="n">
        <x:v>14</x:v>
      </x:c>
      <x:c r="Q32" s="26" t="n">
        <x:v>0.10949464275855461</x:v>
      </x:c>
      <x:c r="R32" s="26" t="n">
        <x:v>-0.09845607101419913</x:v>
      </x:c>
      <x:c r="S32" s="26" t="n">
        <x:v>0.10949464275855461</x:v>
      </x:c>
      <x:c r="T32" s="26" t="n">
        <x:v>-0.09845607101419913</x:v>
      </x:c>
      <x:c r="U32" s="26" t="n">
        <x:v>1.682597265599576</x:v>
      </x:c>
      <x:c r="V32" s="26" t="n">
        <x:v>0.3174027344004241</x:v>
      </x:c>
    </x:row>
    <x:row r="33">
      <x:c r="A33" s="26" t="n">
        <x:v>14.5</x:v>
      </x:c>
      <x:c r="B33" s="26" t="n">
        <x:f>(A33/$N$3)^2</x:f>
        <x:v>0.11745535020401073</x:v>
      </x:c>
      <x:c r="C33" s="26" t="n">
        <x:f>0-(A33/$N$4)^2</x:f>
        <x:v>-0.10561422923844575</x:v>
      </x:c>
      <x:c r="D33" s="26" t="n">
        <x:f>MIN(B33,$N$5)</x:f>
        <x:v>0.11745535020401073</x:v>
      </x:c>
      <x:c r="E33" s="26" t="n">
        <x:f>IF(A33&lt;=$N$7,MAX(C33,$N$6),MAX(C33,$N$6*($N$8-A33)/($N$8-$N$7)))</x:f>
        <x:v>-0.10561422923844575</x:v>
      </x:c>
      <x:c r="F33" s="26" t="n">
        <x:f>IF(A33&lt;=$N$7,1+$N$9*A33/$N$7,$N$10+(A33-$N$7)*($N$12-$N$10)/($N$8-$N$7))</x:f>
        <x:v>1.7069757393709892</x:v>
      </x:c>
      <x:c r="G33" s="26" t="n">
        <x:f>IF(A33&lt;=$N$7,1-$N$9*A33/$N$7,$N$11+(A33-$N$7)*($N$13-$N$11)/($N$8-$N$7))</x:f>
        <x:v>0.29302426062901077</x:v>
      </x:c>
      <x:c r="H33" s="26" t="n">
        <x:f>MIN(F33,B33)</x:f>
        <x:v>0.11745535020401073</x:v>
      </x:c>
      <x:c r="I33" s="26" t="n">
        <x:f>MAX(G33,C33)</x:f>
        <x:v>0.29302426062901077</x:v>
      </x:c>
      <x:c r="J33" s="26" t="n">
        <x:f>MAX(D33,H33)</x:f>
        <x:v>0.11745535020401073</x:v>
      </x:c>
      <x:c r="K33" s="26" t="n">
        <x:f>MIN(E33,I33)</x:f>
        <x:v>-0.10561422923844575</x:v>
      </x:c>
      <x:c r="P33" s="26" t="n">
        <x:v>14.5</x:v>
      </x:c>
      <x:c r="Q33" s="26" t="n">
        <x:v>0.11745535020401073</x:v>
      </x:c>
      <x:c r="R33" s="26" t="n">
        <x:v>-0.10561422923844575</x:v>
      </x:c>
      <x:c r="S33" s="26" t="n">
        <x:v>0.11745535020401073</x:v>
      </x:c>
      <x:c r="T33" s="26" t="n">
        <x:v>-0.10561422923844575</x:v>
      </x:c>
      <x:c r="U33" s="26" t="n">
        <x:v>1.7069757393709892</x:v>
      </x:c>
      <x:c r="V33" s="26" t="n">
        <x:v>0.29302426062901066</x:v>
      </x:c>
    </x:row>
    <x:row r="34">
      <x:c r="A34" s="26" t="n">
        <x:v>15</x:v>
      </x:c>
      <x:c r="B34" s="26" t="n">
        <x:f>(A34/$N$3)^2</x:f>
        <x:v>0.1256953807177285</x:v>
      </x:c>
      <x:c r="C34" s="26" t="n">
        <x:f>0-(A34/$N$4)^2</x:f>
        <x:v>-0.11302355090915714</x:v>
      </x:c>
      <x:c r="D34" s="26" t="n">
        <x:f>MIN(B34,$N$5)</x:f>
        <x:v>0.1256953807177285</x:v>
      </x:c>
      <x:c r="E34" s="26" t="n">
        <x:f>IF(A34&lt;=$N$7,MAX(C34,$N$6),MAX(C34,$N$6*($N$8-A34)/($N$8-$N$7)))</x:f>
        <x:v>-0.11302355090915714</x:v>
      </x:c>
      <x:c r="F34" s="26" t="n">
        <x:f>IF(A34&lt;=$N$7,1+$N$9*A34/$N$7,$N$10+(A34-$N$7)*($N$12-$N$10)/($N$8-$N$7))</x:f>
        <x:v>1.731354213142403</x:v>
      </x:c>
      <x:c r="G34" s="26" t="n">
        <x:f>IF(A34&lt;=$N$7,1-$N$9*A34/$N$7,$N$11+(A34-$N$7)*($N$13-$N$11)/($N$8-$N$7))</x:f>
        <x:v>0.2686457868575972</x:v>
      </x:c>
      <x:c r="H34" s="26" t="n">
        <x:f>MIN(F34,B34)</x:f>
        <x:v>0.1256953807177285</x:v>
      </x:c>
      <x:c r="I34" s="26" t="n">
        <x:f>MAX(G34,C34)</x:f>
        <x:v>0.2686457868575972</x:v>
      </x:c>
      <x:c r="J34" s="26" t="n">
        <x:f>MAX(D34,H34)</x:f>
        <x:v>0.1256953807177285</x:v>
      </x:c>
      <x:c r="K34" s="26" t="n">
        <x:f>MIN(E34,I34)</x:f>
        <x:v>-0.11302355090915714</x:v>
      </x:c>
      <x:c r="P34" s="26" t="n">
        <x:v>15</x:v>
      </x:c>
      <x:c r="Q34" s="26" t="n">
        <x:v>0.1256953807177285</x:v>
      </x:c>
      <x:c r="R34" s="26" t="n">
        <x:v>-0.11302355090915714</x:v>
      </x:c>
      <x:c r="S34" s="26" t="n">
        <x:v>0.1256953807177285</x:v>
      </x:c>
      <x:c r="T34" s="26" t="n">
        <x:v>-0.11302355090915714</x:v>
      </x:c>
      <x:c r="U34" s="26" t="n">
        <x:v>1.7313542131424027</x:v>
      </x:c>
      <x:c r="V34" s="26" t="n">
        <x:v>0.2686457868575973</x:v>
      </x:c>
    </x:row>
    <x:row r="35">
      <x:c r="A35" s="26" t="n">
        <x:v>15.5</x:v>
      </x:c>
      <x:c r="B35" s="26" t="n">
        <x:f>(A35/$N$3)^2</x:f>
        <x:v>0.13421473429970787</x:v>
      </x:c>
      <x:c r="C35" s="26" t="n">
        <x:f>0-(A35/$N$4)^2</x:f>
        <x:v>-0.12068403602633336</x:v>
      </x:c>
      <x:c r="D35" s="26" t="n">
        <x:f>MIN(B35,$N$5)</x:f>
        <x:v>0.13421473429970787</x:v>
      </x:c>
      <x:c r="E35" s="26" t="n">
        <x:f>IF(A35&lt;=$N$7,MAX(C35,$N$6),MAX(C35,$N$6*($N$8-A35)/($N$8-$N$7)))</x:f>
        <x:v>-0.12068403602633336</x:v>
      </x:c>
      <x:c r="F35" s="26" t="n">
        <x:f>IF(A35&lt;=$N$7,1+$N$9*A35/$N$7,$N$10+(A35-$N$7)*($N$12-$N$10)/($N$8-$N$7))</x:f>
        <x:v>1.7557326869138161</x:v>
      </x:c>
      <x:c r="G35" s="26" t="n">
        <x:f>IF(A35&lt;=$N$7,1-$N$9*A35/$N$7,$N$11+(A35-$N$7)*($N$13-$N$11)/($N$8-$N$7))</x:f>
        <x:v>0.24426731308618388</x:v>
      </x:c>
      <x:c r="H35" s="26" t="n">
        <x:f>MIN(F35,B35)</x:f>
        <x:v>0.13421473429970787</x:v>
      </x:c>
      <x:c r="I35" s="26" t="n">
        <x:f>MAX(G35,C35)</x:f>
        <x:v>0.24426731308618388</x:v>
      </x:c>
      <x:c r="J35" s="26" t="n">
        <x:f>MAX(D35,H35)</x:f>
        <x:v>0.13421473429970787</x:v>
      </x:c>
      <x:c r="K35" s="26" t="n">
        <x:f>MIN(E35,I35)</x:f>
        <x:v>-0.12068403602633336</x:v>
      </x:c>
      <x:c r="P35" s="26" t="n">
        <x:v>15.5</x:v>
      </x:c>
      <x:c r="Q35" s="26" t="n">
        <x:v>0.13421473429970787</x:v>
      </x:c>
      <x:c r="R35" s="26" t="n">
        <x:v>-0.12068403602633336</x:v>
      </x:c>
      <x:c r="S35" s="26" t="n">
        <x:v>0.13421473429970787</x:v>
      </x:c>
      <x:c r="T35" s="26" t="n">
        <x:v>-0.12068403602633336</x:v>
      </x:c>
      <x:c r="U35" s="26" t="n">
        <x:v>1.7557326869138161</x:v>
      </x:c>
      <x:c r="V35" s="26" t="n">
        <x:v>0.24426731308618388</x:v>
      </x:c>
    </x:row>
    <x:row r="36">
      <x:c r="A36" s="26" t="n">
        <x:v>16</x:v>
      </x:c>
      <x:c r="B36" s="26" t="n">
        <x:f>(A36/$N$3)^2</x:f>
        <x:v>0.14301341094994885</x:v>
      </x:c>
      <x:c r="C36" s="26" t="n">
        <x:f>0-(A36/$N$4)^2</x:f>
        <x:v>-0.12859568458997436</x:v>
      </x:c>
      <x:c r="D36" s="26" t="n">
        <x:f>MIN(B36,$N$5)</x:f>
        <x:v>0.14301341094994885</x:v>
      </x:c>
      <x:c r="E36" s="26" t="n">
        <x:f>IF(A36&lt;=$N$7,MAX(C36,$N$6),MAX(C36,$N$6*($N$8-A36)/($N$8-$N$7)))</x:f>
        <x:v>-0.12859568458997436</x:v>
      </x:c>
      <x:c r="F36" s="26" t="n">
        <x:f>IF(A36&lt;=$N$7,1+$N$9*A36/$N$7,$N$10+(A36-$N$7)*($N$12-$N$10)/($N$8-$N$7))</x:f>
        <x:v>1.7801111606852296</x:v>
      </x:c>
      <x:c r="G36" s="26" t="n">
        <x:f>IF(A36&lt;=$N$7,1-$N$9*A36/$N$7,$N$11+(A36-$N$7)*($N$13-$N$11)/($N$8-$N$7))</x:f>
        <x:v>0.21988883931477043</x:v>
      </x:c>
      <x:c r="H36" s="26" t="n">
        <x:f>MIN(F36,B36)</x:f>
        <x:v>0.14301341094994885</x:v>
      </x:c>
      <x:c r="I36" s="26" t="n">
        <x:f>MAX(G36,C36)</x:f>
        <x:v>0.21988883931477043</x:v>
      </x:c>
      <x:c r="J36" s="26" t="n">
        <x:f>MAX(D36,H36)</x:f>
        <x:v>0.14301341094994885</x:v>
      </x:c>
      <x:c r="K36" s="26" t="n">
        <x:f>MIN(E36,I36)</x:f>
        <x:v>-0.12859568458997436</x:v>
      </x:c>
      <x:c r="P36" s="26" t="n">
        <x:v>16</x:v>
      </x:c>
      <x:c r="Q36" s="26" t="n">
        <x:v>0.14301341094994885</x:v>
      </x:c>
      <x:c r="R36" s="26" t="n">
        <x:v>-0.12859568458997436</x:v>
      </x:c>
      <x:c r="S36" s="26" t="n">
        <x:v>0.14301341094994885</x:v>
      </x:c>
      <x:c r="T36" s="26" t="n">
        <x:v>-0.12859568458997436</x:v>
      </x:c>
      <x:c r="U36" s="26" t="n">
        <x:v>1.7801111606852296</x:v>
      </x:c>
      <x:c r="V36" s="26" t="n">
        <x:v>0.21988883931477043</x:v>
      </x:c>
    </x:row>
    <x:row r="37">
      <x:c r="A37" s="26" t="n">
        <x:v>16.5</x:v>
      </x:c>
      <x:c r="B37" s="26" t="n">
        <x:f>(A37/$N$3)^2</x:f>
        <x:v>0.1520914106684515</x:v>
      </x:c>
      <x:c r="C37" s="26" t="n">
        <x:f>0-(A37/$N$4)^2</x:f>
        <x:v>-0.13675849660008016</x:v>
      </x:c>
      <x:c r="D37" s="26" t="n">
        <x:f>MIN(B37,$N$5)</x:f>
        <x:v>0.1520914106684515</x:v>
      </x:c>
      <x:c r="E37" s="26" t="n">
        <x:f>IF(A37&lt;=$N$7,MAX(C37,$N$6),MAX(C37,$N$6*($N$8-A37)/($N$8-$N$7)))</x:f>
        <x:v>-0.13675849660008016</x:v>
      </x:c>
      <x:c r="F37" s="26" t="n">
        <x:f>IF(A37&lt;=$N$7,1+$N$9*A37/$N$7,$N$10+(A37-$N$7)*($N$12-$N$10)/($N$8-$N$7))</x:f>
        <x:v>1.804489634456643</x:v>
      </x:c>
      <x:c r="G37" s="26" t="n">
        <x:f>IF(A37&lt;=$N$7,1-$N$9*A37/$N$7,$N$11+(A37-$N$7)*($N$13-$N$11)/($N$8-$N$7))</x:f>
        <x:v>0.1955103655433571</x:v>
      </x:c>
      <x:c r="H37" s="26" t="n">
        <x:f>MIN(F37,B37)</x:f>
        <x:v>0.1520914106684515</x:v>
      </x:c>
      <x:c r="I37" s="26" t="n">
        <x:f>MAX(G37,C37)</x:f>
        <x:v>0.1955103655433571</x:v>
      </x:c>
      <x:c r="J37" s="26" t="n">
        <x:f>MAX(D37,H37)</x:f>
        <x:v>0.1520914106684515</x:v>
      </x:c>
      <x:c r="K37" s="26" t="n">
        <x:f>MIN(E37,I37)</x:f>
        <x:v>-0.13675849660008016</x:v>
      </x:c>
      <x:c r="P37" s="26" t="n">
        <x:v>16.5</x:v>
      </x:c>
      <x:c r="Q37" s="26" t="n">
        <x:v>0.1520914106684515</x:v>
      </x:c>
      <x:c r="R37" s="26" t="n">
        <x:v>-0.13675849660008016</x:v>
      </x:c>
      <x:c r="S37" s="26" t="n">
        <x:v>0.1520914106684515</x:v>
      </x:c>
      <x:c r="T37" s="26" t="n">
        <x:v>-0.13675849660008016</x:v>
      </x:c>
      <x:c r="U37" s="26" t="n">
        <x:v>1.804489634456643</x:v>
      </x:c>
      <x:c r="V37" s="26" t="n">
        <x:v>0.195510365543357</x:v>
      </x:c>
    </x:row>
    <x:row r="38">
      <x:c r="A38" s="26" t="n">
        <x:v>17</x:v>
      </x:c>
      <x:c r="B38" s="26" t="n">
        <x:f>(A38/$N$3)^2</x:f>
        <x:v>0.1614487334552157</x:v>
      </x:c>
      <x:c r="C38" s="26" t="n">
        <x:f>0-(A38/$N$4)^2</x:f>
        <x:v>-0.14517247205665076</x:v>
      </x:c>
      <x:c r="D38" s="26" t="n">
        <x:f>MIN(B38,$N$5)</x:f>
        <x:v>0.1614487334552157</x:v>
      </x:c>
      <x:c r="E38" s="26" t="n">
        <x:f>IF(A38&lt;=$N$7,MAX(C38,$N$6),MAX(C38,$N$6*($N$8-A38)/($N$8-$N$7)))</x:f>
        <x:v>-0.14517247205665076</x:v>
      </x:c>
      <x:c r="F38" s="26" t="n">
        <x:f>IF(A38&lt;=$N$7,1+$N$9*A38/$N$7,$N$10+(A38-$N$7)*($N$12-$N$10)/($N$8-$N$7))</x:f>
        <x:v>1.8288681082280562</x:v>
      </x:c>
      <x:c r="G38" s="26" t="n">
        <x:f>IF(A38&lt;=$N$7,1-$N$9*A38/$N$7,$N$11+(A38-$N$7)*($N$13-$N$11)/($N$8-$N$7))</x:f>
        <x:v>0.17113189177194366</x:v>
      </x:c>
      <x:c r="H38" s="26" t="n">
        <x:f>MIN(F38,B38)</x:f>
        <x:v>0.1614487334552157</x:v>
      </x:c>
      <x:c r="I38" s="26" t="n">
        <x:f>MAX(G38,C38)</x:f>
        <x:v>0.17113189177194366</x:v>
      </x:c>
      <x:c r="J38" s="26" t="n">
        <x:f>MAX(D38,H38)</x:f>
        <x:v>0.1614487334552157</x:v>
      </x:c>
      <x:c r="K38" s="26" t="n">
        <x:f>MIN(E38,I38)</x:f>
        <x:v>-0.14517247205665076</x:v>
      </x:c>
      <x:c r="P38" s="26" t="n">
        <x:v>17</x:v>
      </x:c>
      <x:c r="Q38" s="26" t="n">
        <x:v>0.1614487334552157</x:v>
      </x:c>
      <x:c r="R38" s="26" t="n">
        <x:v>-0.14517247205665076</x:v>
      </x:c>
      <x:c r="S38" s="26" t="n">
        <x:v>0.1614487334552157</x:v>
      </x:c>
      <x:c r="T38" s="26" t="n">
        <x:v>-0.14517247205665076</x:v>
      </x:c>
      <x:c r="U38" s="26" t="n">
        <x:v>1.8288681082280565</x:v>
      </x:c>
      <x:c r="V38" s="26" t="n">
        <x:v>0.17113189177194355</x:v>
      </x:c>
    </x:row>
    <x:row r="39">
      <x:c r="A39" s="26" t="n">
        <x:v>17.5</x:v>
      </x:c>
      <x:c r="B39" s="26" t="n">
        <x:f>(A39/$N$3)^2</x:f>
        <x:v>0.1710853793102416</x:v>
      </x:c>
      <x:c r="C39" s="26" t="n">
        <x:f>0-(A39/$N$4)^2</x:f>
        <x:v>-0.15383761095968615</x:v>
      </x:c>
      <x:c r="D39" s="26" t="n">
        <x:f>MIN(B39,$N$5)</x:f>
        <x:v>0.1710853793102416</x:v>
      </x:c>
      <x:c r="E39" s="26" t="n">
        <x:f>IF(A39&lt;=$N$7,MAX(C39,$N$6),MAX(C39,$N$6*($N$8-A39)/($N$8-$N$7)))</x:f>
        <x:v>-0.15383761095968615</x:v>
      </x:c>
      <x:c r="F39" s="26" t="n">
        <x:f>IF(A39&lt;=$N$7,1+$N$9*A39/$N$7,$N$10+(A39-$N$7)*($N$12-$N$10)/($N$8-$N$7))</x:f>
        <x:v>1.85324658199947</x:v>
      </x:c>
      <x:c r="G39" s="26" t="n">
        <x:f>IF(A39&lt;=$N$7,1-$N$9*A39/$N$7,$N$11+(A39-$N$7)*($N$13-$N$11)/($N$8-$N$7))</x:f>
        <x:v>0.1467534180005301</x:v>
      </x:c>
      <x:c r="H39" s="26" t="n">
        <x:f>MIN(F39,B39)</x:f>
        <x:v>0.1710853793102416</x:v>
      </x:c>
      <x:c r="I39" s="26" t="n">
        <x:f>MAX(G39,C39)</x:f>
        <x:v>0.1467534180005301</x:v>
      </x:c>
      <x:c r="J39" s="26" t="n">
        <x:f>MAX(D39,H39)</x:f>
        <x:v>0.1710853793102416</x:v>
      </x:c>
      <x:c r="K39" s="26" t="n">
        <x:f>MIN(E39,I39)</x:f>
        <x:v>-0.15383761095968615</x:v>
      </x:c>
      <x:c r="P39" s="26" t="n">
        <x:v>17.5</x:v>
      </x:c>
      <x:c r="Q39" s="26" t="n">
        <x:v>0.1710853793102416</x:v>
      </x:c>
      <x:c r="R39" s="26" t="n">
        <x:v>-0.15383761095968615</x:v>
      </x:c>
      <x:c r="S39" s="26" t="n">
        <x:v>0.1710853793102416</x:v>
      </x:c>
      <x:c r="T39" s="26" t="n">
        <x:v>-0.15383761095968615</x:v>
      </x:c>
      <x:c r="U39" s="26" t="n">
        <x:v>1.85324658199947</x:v>
      </x:c>
      <x:c r="V39" s="26" t="n">
        <x:v>0.1467534180005302</x:v>
      </x:c>
    </x:row>
    <x:row r="40">
      <x:c r="A40" s="26" t="n">
        <x:v>18</x:v>
      </x:c>
      <x:c r="B40" s="26" t="n">
        <x:f>(A40/$N$3)^2</x:f>
        <x:v>0.18100134823352904</x:v>
      </x:c>
      <x:c r="C40" s="26" t="n">
        <x:f>0-(A40/$N$4)^2</x:f>
        <x:v>-0.1627539133091863</x:v>
      </x:c>
      <x:c r="D40" s="26" t="n">
        <x:f>MIN(B40,$N$5)</x:f>
        <x:v>0.18100134823352904</x:v>
      </x:c>
      <x:c r="E40" s="26" t="n">
        <x:f>IF(A40&lt;=$N$7,MAX(C40,$N$6),MAX(C40,$N$6*($N$8-A40)/($N$8-$N$7)))</x:f>
        <x:v>-0.1627539133091863</x:v>
      </x:c>
      <x:c r="F40" s="26" t="n">
        <x:f>IF(A40&lt;=$N$7,1+$N$9*A40/$N$7,$N$10+(A40-$N$7)*($N$12-$N$10)/($N$8-$N$7))</x:f>
        <x:v>1.8776250557708831</x:v>
      </x:c>
      <x:c r="G40" s="26" t="n">
        <x:f>IF(A40&lt;=$N$7,1-$N$9*A40/$N$7,$N$11+(A40-$N$7)*($N$13-$N$11)/($N$8-$N$7))</x:f>
        <x:v>0.12237494422911677</x:v>
      </x:c>
      <x:c r="H40" s="26" t="n">
        <x:f>MIN(F40,B40)</x:f>
        <x:v>0.18100134823352904</x:v>
      </x:c>
      <x:c r="I40" s="26" t="n">
        <x:f>MAX(G40,C40)</x:f>
        <x:v>0.12237494422911677</x:v>
      </x:c>
      <x:c r="J40" s="26" t="n">
        <x:f>MAX(D40,H40)</x:f>
        <x:v>0.18100134823352904</x:v>
      </x:c>
      <x:c r="K40" s="26" t="n">
        <x:f>MIN(E40,I40)</x:f>
        <x:v>-0.1627539133091863</x:v>
      </x:c>
      <x:c r="P40" s="26" t="n">
        <x:v>18</x:v>
      </x:c>
      <x:c r="Q40" s="26" t="n">
        <x:v>0.18100134823352904</x:v>
      </x:c>
      <x:c r="R40" s="26" t="n">
        <x:v>-0.1627539133091863</x:v>
      </x:c>
      <x:c r="S40" s="26" t="n">
        <x:v>0.18100134823352904</x:v>
      </x:c>
      <x:c r="T40" s="26" t="n">
        <x:v>-0.1627539133091863</x:v>
      </x:c>
      <x:c r="U40" s="26" t="n">
        <x:v>1.8776250557708831</x:v>
      </x:c>
      <x:c r="V40" s="26" t="n">
        <x:v>0.12237494422911677</x:v>
      </x:c>
    </x:row>
    <x:row r="41">
      <x:c r="A41" s="26" t="n">
        <x:v>18.5</x:v>
      </x:c>
      <x:c r="B41" s="26" t="n">
        <x:f>(A41/$N$3)^2</x:f>
        <x:v>0.1911966402250781</x:v>
      </x:c>
      <x:c r="C41" s="26" t="n">
        <x:f>0-(A41/$N$4)^2</x:f>
        <x:v>-0.17192137910515126</x:v>
      </x:c>
      <x:c r="D41" s="26" t="n">
        <x:f>MIN(B41,$N$5)</x:f>
        <x:v>0.1911966402250781</x:v>
      </x:c>
      <x:c r="E41" s="26" t="n">
        <x:f>IF(A41&lt;=$N$7,MAX(C41,$N$6),MAX(C41,$N$6*($N$8-A41)/($N$8-$N$7)))</x:f>
        <x:v>-0.17192137910515126</x:v>
      </x:c>
      <x:c r="F41" s="26" t="n">
        <x:f>IF(A41&lt;=$N$7,1+$N$9*A41/$N$7,$N$10+(A41-$N$7)*($N$12-$N$10)/($N$8-$N$7))</x:f>
        <x:v>1.9020035295422968</x:v>
      </x:c>
      <x:c r="G41" s="26" t="n">
        <x:f>IF(A41&lt;=$N$7,1-$N$9*A41/$N$7,$N$11+(A41-$N$7)*($N$13-$N$11)/($N$8-$N$7))</x:f>
        <x:v>0.09799647045770332</x:v>
      </x:c>
      <x:c r="H41" s="26" t="n">
        <x:f>MIN(F41,B41)</x:f>
        <x:v>0.1911966402250781</x:v>
      </x:c>
      <x:c r="I41" s="26" t="n">
        <x:f>MAX(G41,C41)</x:f>
        <x:v>0.09799647045770332</x:v>
      </x:c>
      <x:c r="J41" s="26" t="n">
        <x:f>MAX(D41,H41)</x:f>
        <x:v>0.1911966402250781</x:v>
      </x:c>
      <x:c r="K41" s="26" t="n">
        <x:f>MIN(E41,I41)</x:f>
        <x:v>-0.17192137910515126</x:v>
      </x:c>
      <x:c r="P41" s="26" t="n">
        <x:v>18.5</x:v>
      </x:c>
      <x:c r="Q41" s="26" t="n">
        <x:v>0.1911966402250781</x:v>
      </x:c>
      <x:c r="R41" s="26" t="n">
        <x:v>-0.17192137910515126</x:v>
      </x:c>
      <x:c r="S41" s="26" t="n">
        <x:v>0.1911966402250781</x:v>
      </x:c>
      <x:c r="T41" s="26" t="n">
        <x:v>-0.17192137910515126</x:v>
      </x:c>
      <x:c r="U41" s="26" t="n">
        <x:v>1.9020035295422968</x:v>
      </x:c>
      <x:c r="V41" s="26" t="n">
        <x:v>0.09799647045770332</x:v>
      </x:c>
    </x:row>
    <x:row r="42">
      <x:c r="A42" s="26" t="n">
        <x:v>19</x:v>
      </x:c>
      <x:c r="B42" s="26" t="n">
        <x:f>(A42/$N$3)^2</x:f>
        <x:v>0.20167125528488886</x:v>
      </x:c>
      <x:c r="C42" s="26" t="n">
        <x:f>0-(A42/$N$4)^2</x:f>
        <x:v>-0.18134000834758104</x:v>
      </x:c>
      <x:c r="D42" s="26" t="n">
        <x:f>MIN(B42,$N$5)</x:f>
        <x:v>0.20167125528488886</x:v>
      </x:c>
      <x:c r="E42" s="26" t="n">
        <x:f>IF(A42&lt;=$N$7,MAX(C42,$N$6),MAX(C42,$N$6*($N$8-A42)/($N$8-$N$7)))</x:f>
        <x:v>-0.18134000834758104</x:v>
      </x:c>
      <x:c r="F42" s="26" t="n">
        <x:f>IF(A42&lt;=$N$7,1+$N$9*A42/$N$7,$N$10+(A42-$N$7)*($N$12-$N$10)/($N$8-$N$7))</x:f>
        <x:v>1.92638200331371</x:v>
      </x:c>
      <x:c r="G42" s="26" t="n">
        <x:f>IF(A42&lt;=$N$7,1-$N$9*A42/$N$7,$N$11+(A42-$N$7)*($N$13-$N$11)/($N$8-$N$7))</x:f>
        <x:v>0.07361799668628988</x:v>
      </x:c>
      <x:c r="H42" s="26" t="n">
        <x:f>MIN(F42,B42)</x:f>
        <x:v>0.20167125528488886</x:v>
      </x:c>
      <x:c r="I42" s="26" t="n">
        <x:f>MAX(G42,C42)</x:f>
        <x:v>0.07361799668628988</x:v>
      </x:c>
      <x:c r="J42" s="26" t="n">
        <x:f>MAX(D42,H42)</x:f>
        <x:v>0.20167125528488886</x:v>
      </x:c>
      <x:c r="K42" s="26" t="n">
        <x:f>MIN(E42,I42)</x:f>
        <x:v>-0.18134000834758104</x:v>
      </x:c>
      <x:c r="P42" s="26" t="n">
        <x:v>19</x:v>
      </x:c>
      <x:c r="Q42" s="26" t="n">
        <x:v>0.20167125528488886</x:v>
      </x:c>
      <x:c r="R42" s="26" t="n">
        <x:v>-0.18134000834758104</x:v>
      </x:c>
      <x:c r="S42" s="26" t="n">
        <x:v>0.20167125528488886</x:v>
      </x:c>
      <x:c r="T42" s="26" t="n">
        <x:v>-0.18134000834758104</x:v>
      </x:c>
      <x:c r="U42" s="26" t="n">
        <x:v>1.92638200331371</x:v>
      </x:c>
      <x:c r="V42" s="26" t="n">
        <x:v>0.07361799668628988</x:v>
      </x:c>
    </x:row>
    <x:row r="43">
      <x:c r="A43" s="26" t="n">
        <x:v>19.5</x:v>
      </x:c>
      <x:c r="B43" s="26" t="n">
        <x:f>(A43/$N$3)^2</x:f>
        <x:v>0.21242519341296115</x:v>
      </x:c>
      <x:c r="C43" s="26" t="n">
        <x:f>0-(A43/$N$4)^2</x:f>
        <x:v>-0.1910098010364756</x:v>
      </x:c>
      <x:c r="D43" s="26" t="n">
        <x:f>MIN(B43,$N$5)</x:f>
        <x:v>0.21242519341296115</x:v>
      </x:c>
      <x:c r="E43" s="26" t="n">
        <x:f>IF(A43&lt;=$N$7,MAX(C43,$N$6),MAX(C43,$N$6*($N$8-A43)/($N$8-$N$7)))</x:f>
        <x:v>-0.1910098010364756</x:v>
      </x:c>
      <x:c r="F43" s="26" t="n">
        <x:f>IF(A43&lt;=$N$7,1+$N$9*A43/$N$7,$N$10+(A43-$N$7)*($N$12-$N$10)/($N$8-$N$7))</x:f>
        <x:v>1.9507604770851235</x:v>
      </x:c>
      <x:c r="G43" s="26" t="n">
        <x:f>IF(A43&lt;=$N$7,1-$N$9*A43/$N$7,$N$11+(A43-$N$7)*($N$13-$N$11)/($N$8-$N$7))</x:f>
        <x:v>0.04923952291487654</x:v>
      </x:c>
      <x:c r="H43" s="26" t="n">
        <x:f>MIN(F43,B43)</x:f>
        <x:v>0.21242519341296115</x:v>
      </x:c>
      <x:c r="I43" s="26" t="n">
        <x:f>MAX(G43,C43)</x:f>
        <x:v>0.04923952291487654</x:v>
      </x:c>
      <x:c r="J43" s="26" t="n">
        <x:f>MAX(D43,H43)</x:f>
        <x:v>0.21242519341296115</x:v>
      </x:c>
      <x:c r="K43" s="26" t="n">
        <x:f>MIN(E43,I43)</x:f>
        <x:v>-0.1910098010364756</x:v>
      </x:c>
      <x:c r="P43" s="26" t="n">
        <x:v>19.5</x:v>
      </x:c>
      <x:c r="Q43" s="26" t="n">
        <x:v>0.21242519341296115</x:v>
      </x:c>
      <x:c r="R43" s="26" t="n">
        <x:v>-0.1910098010364756</x:v>
      </x:c>
      <x:c r="S43" s="26" t="n">
        <x:v>0.21242519341296115</x:v>
      </x:c>
      <x:c r="T43" s="26" t="n">
        <x:v>-0.1910098010364756</x:v>
      </x:c>
      <x:c r="U43" s="26" t="n">
        <x:v>1.9507604770851237</x:v>
      </x:c>
      <x:c r="V43" s="26" t="n">
        <x:v>0.04923952291487643</x:v>
      </x:c>
    </x:row>
    <x:row r="44">
      <x:c r="A44" s="26" t="n">
        <x:v>20</x:v>
      </x:c>
      <x:c r="B44" s="26" t="n">
        <x:f>(A44/$N$3)^2</x:f>
        <x:v>0.2234584546092951</x:v>
      </x:c>
      <x:c r="C44" s="26" t="n">
        <x:f>0-(A44/$N$4)^2</x:f>
        <x:v>-0.20093075717183498</x:v>
      </x:c>
      <x:c r="D44" s="26" t="n">
        <x:f>MIN(B44,$N$5)</x:f>
        <x:v>0.2234584546092951</x:v>
      </x:c>
      <x:c r="E44" s="26" t="n">
        <x:f>IF(A44&lt;=$N$7,MAX(C44,$N$6),MAX(C44,$N$6*($N$8-A44)/($N$8-$N$7)))</x:f>
        <x:v>-0.20093075717183498</x:v>
      </x:c>
      <x:c r="F44" s="26" t="n">
        <x:f>IF(A44&lt;=$N$7,1+$N$9*A44/$N$7,$N$10+(A44-$N$7)*($N$12-$N$10)/($N$8-$N$7))</x:f>
        <x:v>1.975138950856537</x:v>
      </x:c>
      <x:c r="G44" s="26" t="n">
        <x:f>IF(A44&lt;=$N$7,1-$N$9*A44/$N$7,$N$11+(A44-$N$7)*($N$13-$N$11)/($N$8-$N$7))</x:f>
        <x:v>0.0248610491434631</x:v>
      </x:c>
      <x:c r="H44" s="26" t="n">
        <x:f>MIN(F44,B44)</x:f>
        <x:v>0.2234584546092951</x:v>
      </x:c>
      <x:c r="I44" s="26" t="n">
        <x:f>MAX(G44,C44)</x:f>
        <x:v>0.0248610491434631</x:v>
      </x:c>
      <x:c r="J44" s="26" t="n">
        <x:f>MAX(D44,H44)</x:f>
        <x:v>0.2234584546092951</x:v>
      </x:c>
      <x:c r="K44" s="26" t="n">
        <x:f>MIN(E44,I44)</x:f>
        <x:v>-0.20093075717183498</x:v>
      </x:c>
      <x:c r="P44" s="26" t="n">
        <x:v>20</x:v>
      </x:c>
      <x:c r="Q44" s="26" t="n">
        <x:v>0.2234584546092951</x:v>
      </x:c>
      <x:c r="R44" s="26" t="n">
        <x:v>-0.20093075717183498</x:v>
      </x:c>
      <x:c r="S44" s="26" t="n">
        <x:v>0.2234584546092951</x:v>
      </x:c>
      <x:c r="T44" s="26" t="n">
        <x:v>-0.20093075717183498</x:v>
      </x:c>
      <x:c r="U44" s="26" t="n">
        <x:v>1.975138950856537</x:v>
      </x:c>
      <x:c r="V44" s="26" t="n">
        <x:v>0.0248610491434631</x:v>
      </x:c>
    </x:row>
    <x:row r="45">
      <x:c r="A45" s="26" t="n">
        <x:v>20.5</x:v>
      </x:c>
      <x:c r="B45" s="26" t="n">
        <x:f>(A45/$N$3)^2</x:f>
        <x:v>0.23477103887389067</x:v>
      </x:c>
      <x:c r="C45" s="26" t="n">
        <x:f>0-(A45/$N$4)^2</x:f>
        <x:v>-0.21110287675365907</x:v>
      </x:c>
      <x:c r="D45" s="26" t="n">
        <x:f>MIN(B45,$N$5)</x:f>
        <x:v>0.23477103887389067</x:v>
      </x:c>
      <x:c r="E45" s="26" t="n">
        <x:f>IF(A45&lt;=$N$7,MAX(C45,$N$6),MAX(C45,$N$6*($N$8-A45)/($N$8-$N$7)))</x:f>
        <x:v>-0.21110287675365907</x:v>
      </x:c>
      <x:c r="F45" s="26" t="n">
        <x:f>IF(A45&lt;=$N$7,1+$N$9*A45/$N$7,$N$10+(A45-$N$7)*($N$12-$N$10)/($N$8-$N$7))</x:f>
        <x:v>1.9995174246279506</x:v>
      </x:c>
      <x:c r="G45" s="26" t="n">
        <x:f>IF(A45&lt;=$N$7,1-$N$9*A45/$N$7,$N$11+(A45-$N$7)*($N$13-$N$11)/($N$8-$N$7))</x:f>
        <x:v>0.00048257537204954293</x:v>
      </x:c>
      <x:c r="H45" s="26" t="n">
        <x:f>MIN(F45,B45)</x:f>
        <x:v>0.23477103887389067</x:v>
      </x:c>
      <x:c r="I45" s="26" t="n">
        <x:f>MAX(G45,C45)</x:f>
        <x:v>0.00048257537204954293</x:v>
      </x:c>
      <x:c r="J45" s="26" t="n">
        <x:f>MAX(D45,H45)</x:f>
        <x:v>0.23477103887389067</x:v>
      </x:c>
      <x:c r="K45" s="26" t="n">
        <x:f>MIN(E45,I45)</x:f>
        <x:v>-0.21110287675365907</x:v>
      </x:c>
      <x:c r="P45" s="26" t="n">
        <x:v>20.5</x:v>
      </x:c>
      <x:c r="Q45" s="26" t="n">
        <x:v>0.23477103887389067</x:v>
      </x:c>
      <x:c r="R45" s="26" t="n">
        <x:v>-0.21110287675365907</x:v>
      </x:c>
      <x:c r="S45" s="26" t="n">
        <x:v>0.23477103887389067</x:v>
      </x:c>
      <x:c r="T45" s="26" t="n">
        <x:v>-0.21110287675365907</x:v>
      </x:c>
      <x:c r="U45" s="26" t="n">
        <x:v>1.9995174246279503</x:v>
      </x:c>
      <x:c r="V45" s="26" t="n">
        <x:v>0.00048257537204965395</x:v>
      </x:c>
    </x:row>
    <x:row r="46">
      <x:c r="A46" s="26" t="n">
        <x:v>21</x:v>
      </x:c>
      <x:c r="B46" s="26" t="n">
        <x:f>(A46/$N$3)^2</x:f>
        <x:v>0.24636294620674784</x:v>
      </x:c>
      <x:c r="C46" s="26" t="n">
        <x:f>0-(A46/$N$4)^2</x:f>
        <x:v>-0.22152615978194803</x:v>
      </x:c>
      <x:c r="D46" s="26" t="n">
        <x:f>MIN(B46,$N$5)</x:f>
        <x:v>0.24636294620674784</x:v>
      </x:c>
      <x:c r="E46" s="26" t="n">
        <x:f>IF(A46&lt;=$N$7,MAX(C46,$N$6),MAX(C46,$N$6*($N$8-A46)/($N$8-$N$7)))</x:f>
        <x:v>-0.22152615978194803</x:v>
      </x:c>
      <x:c r="F46" s="26" t="n">
        <x:f>IF(A46&lt;=$N$7,1+$N$9*A46/$N$7,$N$10+(A46-$N$7)*($N$12-$N$10)/($N$8-$N$7))</x:f>
        <x:v>2.023895898399364</x:v>
      </x:c>
      <x:c r="G46" s="26" t="n">
        <x:f>IF(A46&lt;=$N$7,1-$N$9*A46/$N$7,$N$11+(A46-$N$7)*($N$13-$N$11)/($N$8-$N$7))</x:f>
        <x:v>-0.02389589839936379</x:v>
      </x:c>
      <x:c r="H46" s="26" t="n">
        <x:f>MIN(F46,B46)</x:f>
        <x:v>0.24636294620674784</x:v>
      </x:c>
      <x:c r="I46" s="26" t="n">
        <x:f>MAX(G46,C46)</x:f>
        <x:v>-0.02389589839936379</x:v>
      </x:c>
      <x:c r="J46" s="26" t="n">
        <x:f>MAX(D46,H46)</x:f>
        <x:v>0.24636294620674784</x:v>
      </x:c>
      <x:c r="K46" s="26" t="n">
        <x:f>MIN(E46,I46)</x:f>
        <x:v>-0.22152615978194803</x:v>
      </x:c>
      <x:c r="P46" s="26" t="n">
        <x:v>21</x:v>
      </x:c>
      <x:c r="Q46" s="26" t="n">
        <x:v>0.24636294620674784</x:v>
      </x:c>
      <x:c r="R46" s="26" t="n">
        <x:v>-0.22152615978194803</x:v>
      </x:c>
      <x:c r="S46" s="26" t="n">
        <x:v>0.24636294620674784</x:v>
      </x:c>
      <x:c r="T46" s="26" t="n">
        <x:v>-0.22152615978194803</x:v>
      </x:c>
      <x:c r="U46" s="26" t="n">
        <x:v>2.023895898399364</x:v>
      </x:c>
      <x:c r="V46" s="26" t="n">
        <x:v>-0.02389589839936379</x:v>
      </x:c>
    </x:row>
    <x:row r="47">
      <x:c r="A47" s="26" t="n">
        <x:v>21.5</x:v>
      </x:c>
      <x:c r="B47" s="26" t="n">
        <x:f>(A47/$N$3)^2</x:f>
        <x:v>0.25823417660786663</x:v>
      </x:c>
      <x:c r="C47" s="26" t="n">
        <x:f>0-(A47/$N$4)^2</x:f>
        <x:v>-0.23220060625670177</x:v>
      </x:c>
      <x:c r="D47" s="26" t="n">
        <x:f>MIN(B47,$N$5)</x:f>
        <x:v>0.25823417660786663</x:v>
      </x:c>
      <x:c r="E47" s="26" t="n">
        <x:f>IF(A47&lt;=$N$7,MAX(C47,$N$6),MAX(C47,$N$6*($N$8-A47)/($N$8-$N$7)))</x:f>
        <x:v>-0.23220060625670177</x:v>
      </x:c>
      <x:c r="F47" s="26" t="n">
        <x:f>IF(A47&lt;=$N$7,1+$N$9*A47/$N$7,$N$10+(A47-$N$7)*($N$12-$N$10)/($N$8-$N$7))</x:f>
        <x:v>2.048274372170777</x:v>
      </x:c>
      <x:c r="G47" s="26" t="n">
        <x:f>IF(A47&lt;=$N$7,1-$N$9*A47/$N$7,$N$11+(A47-$N$7)*($N$13-$N$11)/($N$8-$N$7))</x:f>
        <x:v>-0.048274372170777236</x:v>
      </x:c>
      <x:c r="H47" s="26" t="n">
        <x:f>MIN(F47,B47)</x:f>
        <x:v>0.25823417660786663</x:v>
      </x:c>
      <x:c r="I47" s="26" t="n">
        <x:f>MAX(G47,C47)</x:f>
        <x:v>-0.048274372170777236</x:v>
      </x:c>
      <x:c r="J47" s="26" t="n">
        <x:f>MAX(D47,H47)</x:f>
        <x:v>0.25823417660786663</x:v>
      </x:c>
      <x:c r="K47" s="26" t="n">
        <x:f>MIN(E47,I47)</x:f>
        <x:v>-0.23220060625670177</x:v>
      </x:c>
      <x:c r="P47" s="26" t="n">
        <x:v>21.5</x:v>
      </x:c>
      <x:c r="Q47" s="26" t="n">
        <x:v>0.25823417660786663</x:v>
      </x:c>
      <x:c r="R47" s="26" t="n">
        <x:v>-0.23220060625670177</x:v>
      </x:c>
      <x:c r="S47" s="26" t="n">
        <x:v>0.25823417660786663</x:v>
      </x:c>
      <x:c r="T47" s="26" t="n">
        <x:v>-0.23220060625670177</x:v>
      </x:c>
      <x:c r="U47" s="26" t="n">
        <x:v>2.048274372170777</x:v>
      </x:c>
      <x:c r="V47" s="26" t="n">
        <x:v>-0.048274372170777236</x:v>
      </x:c>
    </x:row>
    <x:row r="48">
      <x:c r="A48" s="26" t="n">
        <x:v>22</x:v>
      </x:c>
      <x:c r="B48" s="26" t="n">
        <x:f>(A48/$N$3)^2</x:f>
        <x:v>0.2703847300772471</x:v>
      </x:c>
      <x:c r="C48" s="26" t="n">
        <x:f>0-(A48/$N$4)^2</x:f>
        <x:v>-0.2431262161779203</x:v>
      </x:c>
      <x:c r="D48" s="26" t="n">
        <x:f>MIN(B48,$N$5)</x:f>
        <x:v>0.2703847300772471</x:v>
      </x:c>
      <x:c r="E48" s="26" t="n">
        <x:f>IF(A48&lt;=$N$7,MAX(C48,$N$6),MAX(C48,$N$6*($N$8-A48)/($N$8-$N$7)))</x:f>
        <x:v>-0.2431262161779203</x:v>
      </x:c>
      <x:c r="F48" s="26" t="n">
        <x:f>IF(A48&lt;=$N$7,1+$N$9*A48/$N$7,$N$10+(A48-$N$7)*($N$12-$N$10)/($N$8-$N$7))</x:f>
        <x:v>2.0726528459421907</x:v>
      </x:c>
      <x:c r="G48" s="26" t="n">
        <x:f>IF(A48&lt;=$N$7,1-$N$9*A48/$N$7,$N$11+(A48-$N$7)*($N$13-$N$11)/($N$8-$N$7))</x:f>
        <x:v>-0.07265284594219068</x:v>
      </x:c>
      <x:c r="H48" s="26" t="n">
        <x:f>MIN(F48,B48)</x:f>
        <x:v>0.2703847300772471</x:v>
      </x:c>
      <x:c r="I48" s="26" t="n">
        <x:f>MAX(G48,C48)</x:f>
        <x:v>-0.07265284594219068</x:v>
      </x:c>
      <x:c r="J48" s="26" t="n">
        <x:f>MAX(D48,H48)</x:f>
        <x:v>0.2703847300772471</x:v>
      </x:c>
      <x:c r="K48" s="26" t="n">
        <x:f>MIN(E48,I48)</x:f>
        <x:v>-0.2431262161779203</x:v>
      </x:c>
      <x:c r="P48" s="26" t="n">
        <x:v>22</x:v>
      </x:c>
      <x:c r="Q48" s="26" t="n">
        <x:v>0.2703847300772471</x:v>
      </x:c>
      <x:c r="R48" s="26" t="n">
        <x:v>-0.2431262161779203</x:v>
      </x:c>
      <x:c r="S48" s="26" t="n">
        <x:v>0.2703847300772471</x:v>
      </x:c>
      <x:c r="T48" s="26" t="n">
        <x:v>-0.2431262161779203</x:v>
      </x:c>
      <x:c r="U48" s="26" t="n">
        <x:v>2.0726528459421907</x:v>
      </x:c>
      <x:c r="V48" s="26" t="n">
        <x:v>-0.07265284594219068</x:v>
      </x:c>
    </x:row>
    <x:row r="49">
      <x:c r="A49" s="26" t="n">
        <x:v>22.5</x:v>
      </x:c>
      <x:c r="B49" s="26" t="n">
        <x:f>(A49/$N$3)^2</x:f>
        <x:v>0.28281460661488916</x:v>
      </x:c>
      <x:c r="C49" s="26" t="n">
        <x:f>0-(A49/$N$4)^2</x:f>
        <x:v>-0.25430298954560365</x:v>
      </x:c>
      <x:c r="D49" s="26" t="n">
        <x:f>MIN(B49,$N$5)</x:f>
        <x:v>0.28281460661488916</x:v>
      </x:c>
      <x:c r="E49" s="26" t="n">
        <x:f>IF(A49&lt;=$N$7,MAX(C49,$N$6),MAX(C49,$N$6*($N$8-A49)/($N$8-$N$7)))</x:f>
        <x:v>-0.25430298954560365</x:v>
      </x:c>
      <x:c r="F49" s="26" t="n">
        <x:f>IF(A49&lt;=$N$7,1+$N$9*A49/$N$7,$N$10+(A49-$N$7)*($N$12-$N$10)/($N$8-$N$7))</x:f>
        <x:v>2.0970313197136043</x:v>
      </x:c>
      <x:c r="G49" s="26" t="n">
        <x:f>IF(A49&lt;=$N$7,1-$N$9*A49/$N$7,$N$11+(A49-$N$7)*($N$13-$N$11)/($N$8-$N$7))</x:f>
        <x:v>-0.09703131971360412</x:v>
      </x:c>
      <x:c r="H49" s="26" t="n">
        <x:f>MIN(F49,B49)</x:f>
        <x:v>0.28281460661488916</x:v>
      </x:c>
      <x:c r="I49" s="26" t="n">
        <x:f>MAX(G49,C49)</x:f>
        <x:v>-0.09703131971360412</x:v>
      </x:c>
      <x:c r="J49" s="26" t="n">
        <x:f>MAX(D49,H49)</x:f>
        <x:v>0.28281460661488916</x:v>
      </x:c>
      <x:c r="K49" s="26" t="n">
        <x:f>MIN(E49,I49)</x:f>
        <x:v>-0.25430298954560365</x:v>
      </x:c>
      <x:c r="P49" s="26" t="n">
        <x:v>22.5</x:v>
      </x:c>
      <x:c r="Q49" s="26" t="n">
        <x:v>0.28281460661488916</x:v>
      </x:c>
      <x:c r="R49" s="26" t="n">
        <x:v>-0.25430298954560365</x:v>
      </x:c>
      <x:c r="S49" s="26" t="n">
        <x:v>0.28281460661488916</x:v>
      </x:c>
      <x:c r="T49" s="26" t="n">
        <x:v>-0.25430298954560365</x:v>
      </x:c>
      <x:c r="U49" s="26" t="n">
        <x:v>2.0970313197136043</x:v>
      </x:c>
      <x:c r="V49" s="26" t="n">
        <x:v>-0.09703131971360412</x:v>
      </x:c>
    </x:row>
    <x:row r="50">
      <x:c r="A50" s="26" t="n">
        <x:v>23</x:v>
      </x:c>
      <x:c r="B50" s="26" t="n">
        <x:f>(A50/$N$3)^2</x:f>
        <x:v>0.2955238062207928</x:v>
      </x:c>
      <x:c r="C50" s="26" t="n">
        <x:f>0-(A50/$N$4)^2</x:f>
        <x:v>-0.26573092635975176</x:v>
      </x:c>
      <x:c r="D50" s="26" t="n">
        <x:f>MIN(B50,$N$5)</x:f>
        <x:v>0.2955238062207928</x:v>
      </x:c>
      <x:c r="E50" s="26" t="n">
        <x:f>IF(A50&lt;=$N$7,MAX(C50,$N$6),MAX(C50,$N$6*($N$8-A50)/($N$8-$N$7)))</x:f>
        <x:v>-0.26573092635975176</x:v>
      </x:c>
      <x:c r="F50" s="26" t="n">
        <x:f>IF(A50&lt;=$N$7,1+$N$9*A50/$N$7,$N$10+(A50-$N$7)*($N$12-$N$10)/($N$8-$N$7))</x:f>
        <x:v>2.1214097934850176</x:v>
      </x:c>
      <x:c r="G50" s="26" t="n">
        <x:f>IF(A50&lt;=$N$7,1-$N$9*A50/$N$7,$N$11+(A50-$N$7)*($N$13-$N$11)/($N$8-$N$7))</x:f>
        <x:v>-0.12140979348501757</x:v>
      </x:c>
      <x:c r="H50" s="26" t="n">
        <x:f>MIN(F50,B50)</x:f>
        <x:v>0.2955238062207928</x:v>
      </x:c>
      <x:c r="I50" s="26" t="n">
        <x:f>MAX(G50,C50)</x:f>
        <x:v>-0.12140979348501757</x:v>
      </x:c>
      <x:c r="J50" s="26" t="n">
        <x:f>MAX(D50,H50)</x:f>
        <x:v>0.2955238062207928</x:v>
      </x:c>
      <x:c r="K50" s="26" t="n">
        <x:f>MIN(E50,I50)</x:f>
        <x:v>-0.26573092635975176</x:v>
      </x:c>
      <x:c r="P50" s="26" t="n">
        <x:v>23</x:v>
      </x:c>
      <x:c r="Q50" s="26" t="n">
        <x:v>0.2955238062207928</x:v>
      </x:c>
      <x:c r="R50" s="26" t="n">
        <x:v>-0.26573092635975176</x:v>
      </x:c>
      <x:c r="S50" s="26" t="n">
        <x:v>0.2955238062207928</x:v>
      </x:c>
      <x:c r="T50" s="26" t="n">
        <x:v>-0.26573092635975176</x:v>
      </x:c>
      <x:c r="U50" s="26" t="n">
        <x:v>2.1214097934850176</x:v>
      </x:c>
      <x:c r="V50" s="26" t="n">
        <x:v>-0.12140979348501757</x:v>
      </x:c>
    </x:row>
    <x:row r="51">
      <x:c r="A51" s="26" t="n">
        <x:v>23.5</x:v>
      </x:c>
      <x:c r="B51" s="26" t="n">
        <x:f>(A51/$N$3)^2</x:f>
        <x:v>0.30851232889495805</x:v>
      </x:c>
      <x:c r="C51" s="26" t="n">
        <x:f>0-(A51/$N$4)^2</x:f>
        <x:v>-0.2774100266203647</x:v>
      </x:c>
      <x:c r="D51" s="26" t="n">
        <x:f>MIN(B51,$N$5)</x:f>
        <x:v>0.30851232889495805</x:v>
      </x:c>
      <x:c r="E51" s="26" t="n">
        <x:f>IF(A51&lt;=$N$7,MAX(C51,$N$6),MAX(C51,$N$6*($N$8-A51)/($N$8-$N$7)))</x:f>
        <x:v>-0.2774100266203647</x:v>
      </x:c>
      <x:c r="F51" s="26" t="n">
        <x:f>IF(A51&lt;=$N$7,1+$N$9*A51/$N$7,$N$10+(A51-$N$7)*($N$12-$N$10)/($N$8-$N$7))</x:f>
        <x:v>2.145788267256431</x:v>
      </x:c>
      <x:c r="G51" s="26" t="n">
        <x:f>IF(A51&lt;=$N$7,1-$N$9*A51/$N$7,$N$11+(A51-$N$7)*($N$13-$N$11)/($N$8-$N$7))</x:f>
        <x:v>-0.1457882672564308</x:v>
      </x:c>
      <x:c r="H51" s="26" t="n">
        <x:f>MIN(F51,B51)</x:f>
        <x:v>0.30851232889495805</x:v>
      </x:c>
      <x:c r="I51" s="26" t="n">
        <x:f>MAX(G51,C51)</x:f>
        <x:v>-0.1457882672564308</x:v>
      </x:c>
      <x:c r="J51" s="26" t="n">
        <x:f>MAX(D51,H51)</x:f>
        <x:v>0.30851232889495805</x:v>
      </x:c>
      <x:c r="K51" s="26" t="n">
        <x:f>MIN(E51,I51)</x:f>
        <x:v>-0.2774100266203647</x:v>
      </x:c>
      <x:c r="P51" s="26" t="n">
        <x:v>23.5</x:v>
      </x:c>
      <x:c r="Q51" s="26" t="n">
        <x:v>0.30851232889495805</x:v>
      </x:c>
      <x:c r="R51" s="26" t="n">
        <x:v>-0.2774100266203647</x:v>
      </x:c>
      <x:c r="S51" s="26" t="n">
        <x:v>0.30851232889495805</x:v>
      </x:c>
      <x:c r="T51" s="26" t="n">
        <x:v>-0.2774100266203647</x:v>
      </x:c>
      <x:c r="U51" s="26" t="n">
        <x:v>2.145788267256431</x:v>
      </x:c>
      <x:c r="V51" s="26" t="n">
        <x:v>-0.14578826725643101</x:v>
      </x:c>
    </x:row>
    <x:row r="52">
      <x:c r="A52" s="26" t="n">
        <x:v>24</x:v>
      </x:c>
      <x:c r="B52" s="26" t="n">
        <x:f>(A52/$N$3)^2</x:f>
        <x:v>0.3217801746373849</x:v>
      </x:c>
      <x:c r="C52" s="26" t="n">
        <x:f>0-(A52/$N$4)^2</x:f>
        <x:v>-0.2893402903274424</x:v>
      </x:c>
      <x:c r="D52" s="26" t="n">
        <x:f>MIN(B52,$N$5)</x:f>
        <x:v>0.3217801746373849</x:v>
      </x:c>
      <x:c r="E52" s="26" t="n">
        <x:f>IF(A52&lt;=$N$7,MAX(C52,$N$6),MAX(C52,$N$6*($N$8-A52)/($N$8-$N$7)))</x:f>
        <x:v>-0.2893402903274424</x:v>
      </x:c>
      <x:c r="F52" s="26" t="n">
        <x:f>IF(A52&lt;=$N$7,1+$N$9*A52/$N$7,$N$10+(A52-$N$7)*($N$12-$N$10)/($N$8-$N$7))</x:f>
        <x:v>2.1701667410278445</x:v>
      </x:c>
      <x:c r="G52" s="26" t="n">
        <x:f>IF(A52&lt;=$N$7,1-$N$9*A52/$N$7,$N$11+(A52-$N$7)*($N$13-$N$11)/($N$8-$N$7))</x:f>
        <x:v>-0.17016674102784424</x:v>
      </x:c>
      <x:c r="H52" s="26" t="n">
        <x:f>MIN(F52,B52)</x:f>
        <x:v>0.3217801746373849</x:v>
      </x:c>
      <x:c r="I52" s="26" t="n">
        <x:f>MAX(G52,C52)</x:f>
        <x:v>-0.17016674102784424</x:v>
      </x:c>
      <x:c r="J52" s="26" t="n">
        <x:f>MAX(D52,H52)</x:f>
        <x:v>0.3217801746373849</x:v>
      </x:c>
      <x:c r="K52" s="26" t="n">
        <x:f>MIN(E52,I52)</x:f>
        <x:v>-0.2893402903274424</x:v>
      </x:c>
      <x:c r="P52" s="26" t="n">
        <x:v>24</x:v>
      </x:c>
      <x:c r="Q52" s="26" t="n">
        <x:v>0.3217801746373849</x:v>
      </x:c>
      <x:c r="R52" s="26" t="n">
        <x:v>-0.2893402903274424</x:v>
      </x:c>
      <x:c r="S52" s="26" t="n">
        <x:v>0.3217801746373849</x:v>
      </x:c>
      <x:c r="T52" s="26" t="n">
        <x:v>-0.2893402903274424</x:v>
      </x:c>
      <x:c r="U52" s="26" t="n">
        <x:v>2.1701667410278445</x:v>
      </x:c>
      <x:c r="V52" s="26" t="n">
        <x:v>-0.17016674102784446</x:v>
      </x:c>
    </x:row>
    <x:row r="53">
      <x:c r="A53" s="26" t="n">
        <x:v>24.5</x:v>
      </x:c>
      <x:c r="B53" s="26" t="n">
        <x:f>(A53/$N$3)^2</x:f>
        <x:v>0.3353273434480734</x:v>
      </x:c>
      <x:c r="C53" s="26" t="n">
        <x:f>0-(A53/$N$4)^2</x:f>
        <x:v>-0.3015217174809849</x:v>
      </x:c>
      <x:c r="D53" s="26" t="n">
        <x:f>MIN(B53,$N$5)</x:f>
        <x:v>0.3353273434480734</x:v>
      </x:c>
      <x:c r="E53" s="26" t="n">
        <x:f>IF(A53&lt;=$N$7,MAX(C53,$N$6),MAX(C53,$N$6*($N$8-A53)/($N$8-$N$7)))</x:f>
        <x:v>-0.3015217174809849</x:v>
      </x:c>
      <x:c r="F53" s="26" t="n">
        <x:f>IF(A53&lt;=$N$7,1+$N$9*A53/$N$7,$N$10+(A53-$N$7)*($N$12-$N$10)/($N$8-$N$7))</x:f>
        <x:v>2.194545214799258</x:v>
      </x:c>
      <x:c r="G53" s="26" t="n">
        <x:f>IF(A53&lt;=$N$7,1-$N$9*A53/$N$7,$N$11+(A53-$N$7)*($N$13-$N$11)/($N$8-$N$7))</x:f>
        <x:v>-0.1945452147992579</x:v>
      </x:c>
      <x:c r="H53" s="26" t="n">
        <x:f>MIN(F53,B53)</x:f>
        <x:v>0.3353273434480734</x:v>
      </x:c>
      <x:c r="I53" s="26" t="n">
        <x:f>MAX(G53,C53)</x:f>
        <x:v>-0.1945452147992579</x:v>
      </x:c>
      <x:c r="J53" s="26" t="n">
        <x:f>MAX(D53,H53)</x:f>
        <x:v>0.3353273434480734</x:v>
      </x:c>
      <x:c r="K53" s="26" t="n">
        <x:f>MIN(E53,I53)</x:f>
        <x:v>-0.3015217174809849</x:v>
      </x:c>
      <x:c r="P53" s="26" t="n">
        <x:v>24.5</x:v>
      </x:c>
      <x:c r="Q53" s="26" t="n">
        <x:v>0.3353273434480734</x:v>
      </x:c>
      <x:c r="R53" s="26" t="n">
        <x:v>-0.3015217174809849</x:v>
      </x:c>
      <x:c r="S53" s="26" t="n">
        <x:v>0.3353273434480734</x:v>
      </x:c>
      <x:c r="T53" s="26" t="n">
        <x:v>-0.3015217174809849</x:v>
      </x:c>
      <x:c r="U53" s="26" t="n">
        <x:v>2.1945452147992577</x:v>
      </x:c>
      <x:c r="V53" s="26" t="n">
        <x:v>-0.19454521479925768</x:v>
      </x:c>
    </x:row>
    <x:row r="54">
      <x:c r="A54" s="26" t="n">
        <x:v>25</x:v>
      </x:c>
      <x:c r="B54" s="26" t="n">
        <x:f>(A54/$N$3)^2</x:f>
        <x:v>0.34915383532702365</x:v>
      </x:c>
      <x:c r="C54" s="26" t="n">
        <x:f>0-(A54/$N$4)^2</x:f>
        <x:v>-0.31395430808099206</x:v>
      </x:c>
      <x:c r="D54" s="26" t="n">
        <x:f>MIN(B54,$N$5)</x:f>
        <x:v>0.34915383532702365</x:v>
      </x:c>
      <x:c r="E54" s="26" t="n">
        <x:f>IF(A54&lt;=$N$7,MAX(C54,$N$6),MAX(C54,$N$6*($N$8-A54)/($N$8-$N$7)))</x:f>
        <x:v>-0.31395430808099206</x:v>
      </x:c>
      <x:c r="F54" s="26" t="n">
        <x:f>IF(A54&lt;=$N$7,1+$N$9*A54/$N$7,$N$10+(A54-$N$7)*($N$12-$N$10)/($N$8-$N$7))</x:f>
        <x:v>2.218923688570671</x:v>
      </x:c>
      <x:c r="G54" s="26" t="n">
        <x:f>IF(A54&lt;=$N$7,1-$N$9*A54/$N$7,$N$11+(A54-$N$7)*($N$13-$N$11)/($N$8-$N$7))</x:f>
        <x:v>-0.21892368857067113</x:v>
      </x:c>
      <x:c r="H54" s="26" t="n">
        <x:f>MIN(F54,B54)</x:f>
        <x:v>0.34915383532702365</x:v>
      </x:c>
      <x:c r="I54" s="26" t="n">
        <x:f>MAX(G54,C54)</x:f>
        <x:v>-0.21892368857067113</x:v>
      </x:c>
      <x:c r="J54" s="26" t="n">
        <x:f>MAX(D54,H54)</x:f>
        <x:v>0.34915383532702365</x:v>
      </x:c>
      <x:c r="K54" s="26" t="n">
        <x:f>MIN(E54,I54)</x:f>
        <x:v>-0.31395430808099206</x:v>
      </x:c>
      <x:c r="P54" s="26" t="n">
        <x:v>25</x:v>
      </x:c>
      <x:c r="Q54" s="26" t="n">
        <x:v>0.34915383532702365</x:v>
      </x:c>
      <x:c r="R54" s="26" t="n">
        <x:v>-0.31395430808099206</x:v>
      </x:c>
      <x:c r="S54" s="26" t="n">
        <x:v>0.34915383532702365</x:v>
      </x:c>
      <x:c r="T54" s="26" t="n">
        <x:v>-0.31395430808099206</x:v>
      </x:c>
      <x:c r="U54" s="26" t="n">
        <x:v>2.218923688570671</x:v>
      </x:c>
      <x:c r="V54" s="26" t="n">
        <x:v>-0.21892368857067113</x:v>
      </x:c>
    </x:row>
    <x:row r="55">
      <x:c r="A55" s="26" t="n">
        <x:v>25.5</x:v>
      </x:c>
      <x:c r="B55" s="26" t="n">
        <x:f>(A55/$N$3)^2</x:f>
        <x:v>0.36325965027423535</x:v>
      </x:c>
      <x:c r="C55" s="26" t="n">
        <x:f>0-(A55/$N$4)^2</x:f>
        <x:v>-0.32663806212746416</x:v>
      </x:c>
      <x:c r="D55" s="26" t="n">
        <x:f>MIN(B55,$N$5)</x:f>
        <x:v>0.36325965027423535</x:v>
      </x:c>
      <x:c r="E55" s="26" t="n">
        <x:f>IF(A55&lt;=$N$7,MAX(C55,$N$6),MAX(C55,$N$6*($N$8-A55)/($N$8-$N$7)))</x:f>
        <x:v>-0.32663806212746416</x:v>
      </x:c>
      <x:c r="F55" s="26" t="n">
        <x:f>IF(A55&lt;=$N$7,1+$N$9*A55/$N$7,$N$10+(A55-$N$7)*($N$12-$N$10)/($N$8-$N$7))</x:f>
        <x:v>2.2433021623420846</x:v>
      </x:c>
      <x:c r="G55" s="26" t="n">
        <x:f>IF(A55&lt;=$N$7,1-$N$9*A55/$N$7,$N$11+(A55-$N$7)*($N$13-$N$11)/($N$8-$N$7))</x:f>
        <x:v>-0.24330216234208457</x:v>
      </x:c>
      <x:c r="H55" s="26" t="n">
        <x:f>MIN(F55,B55)</x:f>
        <x:v>0.36325965027423535</x:v>
      </x:c>
      <x:c r="I55" s="26" t="n">
        <x:f>MAX(G55,C55)</x:f>
        <x:v>-0.24330216234208457</x:v>
      </x:c>
      <x:c r="J55" s="26" t="n">
        <x:f>MAX(D55,H55)</x:f>
        <x:v>0.36325965027423535</x:v>
      </x:c>
      <x:c r="K55" s="26" t="n">
        <x:f>MIN(E55,I55)</x:f>
        <x:v>-0.32663806212746416</x:v>
      </x:c>
      <x:c r="P55" s="26" t="n">
        <x:v>25.5</x:v>
      </x:c>
      <x:c r="Q55" s="26" t="n">
        <x:v>0.36325965027423535</x:v>
      </x:c>
      <x:c r="R55" s="26" t="n">
        <x:v>-0.32663806212746416</x:v>
      </x:c>
      <x:c r="S55" s="26" t="n">
        <x:v>0.36325965027423535</x:v>
      </x:c>
      <x:c r="T55" s="26" t="n">
        <x:v>-0.32663806212746416</x:v>
      </x:c>
      <x:c r="U55" s="26" t="n">
        <x:v>2.2433021623420846</x:v>
      </x:c>
      <x:c r="V55" s="26" t="n">
        <x:v>-0.24330216234208457</x:v>
      </x:c>
    </x:row>
    <x:row r="56">
      <x:c r="A56" s="26" t="n">
        <x:v>26</x:v>
      </x:c>
      <x:c r="B56" s="26" t="n">
        <x:f>(A56/$N$3)^2</x:f>
        <x:v>0.3776447882897087</x:v>
      </x:c>
      <x:c r="C56" s="26" t="n">
        <x:f>0-(A56/$N$4)^2</x:f>
        <x:v>-0.33957297962040106</x:v>
      </x:c>
      <x:c r="D56" s="26" t="n">
        <x:f>MIN(B56,$N$5)</x:f>
        <x:v>0.3776447882897087</x:v>
      </x:c>
      <x:c r="E56" s="26" t="n">
        <x:f>IF(A56&lt;=$N$7,MAX(C56,$N$6),MAX(C56,$N$6*($N$8-A56)/($N$8-$N$7)))</x:f>
        <x:v>-0.33957297962040106</x:v>
      </x:c>
      <x:c r="F56" s="26" t="n">
        <x:f>IF(A56&lt;=$N$7,1+$N$9*A56/$N$7,$N$10+(A56-$N$7)*($N$12-$N$10)/($N$8-$N$7))</x:f>
        <x:v>2.2676806361134982</x:v>
      </x:c>
      <x:c r="G56" s="26" t="n">
        <x:f>IF(A56&lt;=$N$7,1-$N$9*A56/$N$7,$N$11+(A56-$N$7)*($N$13-$N$11)/($N$8-$N$7))</x:f>
        <x:v>-0.267680636113498</x:v>
      </x:c>
      <x:c r="H56" s="26" t="n">
        <x:f>MIN(F56,B56)</x:f>
        <x:v>0.3776447882897087</x:v>
      </x:c>
      <x:c r="I56" s="26" t="n">
        <x:f>MAX(G56,C56)</x:f>
        <x:v>-0.267680636113498</x:v>
      </x:c>
      <x:c r="J56" s="26" t="n">
        <x:f>MAX(D56,H56)</x:f>
        <x:v>0.3776447882897087</x:v>
      </x:c>
      <x:c r="K56" s="26" t="n">
        <x:f>MIN(E56,I56)</x:f>
        <x:v>-0.33957297962040106</x:v>
      </x:c>
      <x:c r="P56" s="26" t="n">
        <x:v>26</x:v>
      </x:c>
      <x:c r="Q56" s="26" t="n">
        <x:v>0.3776447882897087</x:v>
      </x:c>
      <x:c r="R56" s="26" t="n">
        <x:v>-0.33957297962040106</x:v>
      </x:c>
      <x:c r="S56" s="26" t="n">
        <x:v>0.3776447882897087</x:v>
      </x:c>
      <x:c r="T56" s="26" t="n">
        <x:v>-0.33957297962040106</x:v>
      </x:c>
      <x:c r="U56" s="26" t="n">
        <x:v>2.2676806361134982</x:v>
      </x:c>
      <x:c r="V56" s="26" t="n">
        <x:v>-0.267680636113498</x:v>
      </x:c>
    </x:row>
    <x:row r="57">
      <x:c r="A57" s="26" t="n">
        <x:v>26.5</x:v>
      </x:c>
      <x:c r="B57" s="26" t="n">
        <x:f>(A57/$N$3)^2</x:f>
        <x:v>0.3923092493734437</x:v>
      </x:c>
      <x:c r="C57" s="26" t="n">
        <x:f>0-(A57/$N$4)^2</x:f>
        <x:v>-0.3527590605598027</x:v>
      </x:c>
      <x:c r="D57" s="26" t="n">
        <x:f>MIN(B57,$N$5)</x:f>
        <x:v>0.3923092493734437</x:v>
      </x:c>
      <x:c r="E57" s="26" t="n">
        <x:f>IF(A57&lt;=$N$7,MAX(C57,$N$6),MAX(C57,$N$6*($N$8-A57)/($N$8-$N$7)))</x:f>
        <x:v>-0.3527590605598027</x:v>
      </x:c>
      <x:c r="F57" s="26" t="n">
        <x:f>IF(A57&lt;=$N$7,1+$N$9*A57/$N$7,$N$10+(A57-$N$7)*($N$12-$N$10)/($N$8-$N$7))</x:f>
        <x:v>2.2920591098849115</x:v>
      </x:c>
      <x:c r="G57" s="26" t="n">
        <x:f>IF(A57&lt;=$N$7,1-$N$9*A57/$N$7,$N$11+(A57-$N$7)*($N$13-$N$11)/($N$8-$N$7))</x:f>
        <x:v>-0.29205910988491146</x:v>
      </x:c>
      <x:c r="H57" s="26" t="n">
        <x:f>MIN(F57,B57)</x:f>
        <x:v>0.3923092493734437</x:v>
      </x:c>
      <x:c r="I57" s="26" t="n">
        <x:f>MAX(G57,C57)</x:f>
        <x:v>-0.29205910988491146</x:v>
      </x:c>
      <x:c r="J57" s="26" t="n">
        <x:f>MAX(D57,H57)</x:f>
        <x:v>0.3923092493734437</x:v>
      </x:c>
      <x:c r="K57" s="26" t="n">
        <x:f>MIN(E57,I57)</x:f>
        <x:v>-0.3527590605598027</x:v>
      </x:c>
      <x:c r="P57" s="26" t="n">
        <x:v>26.5</x:v>
      </x:c>
      <x:c r="Q57" s="26" t="n">
        <x:v>0.3923092493734437</x:v>
      </x:c>
      <x:c r="R57" s="26" t="n">
        <x:v>-0.3527590605598027</x:v>
      </x:c>
      <x:c r="S57" s="26" t="n">
        <x:v>0.3923092493734437</x:v>
      </x:c>
      <x:c r="T57" s="26" t="n">
        <x:v>-0.3527590605598027</x:v>
      </x:c>
      <x:c r="U57" s="26" t="n">
        <x:v>2.2920591098849115</x:v>
      </x:c>
      <x:c r="V57" s="26" t="n">
        <x:v>-0.29205910988491146</x:v>
      </x:c>
    </x:row>
    <x:row r="58">
      <x:c r="A58" s="26" t="n">
        <x:v>27</x:v>
      </x:c>
      <x:c r="B58" s="26" t="n">
        <x:f>(A58/$N$3)^2</x:f>
        <x:v>0.40725303352544023</x:v>
      </x:c>
      <x:c r="C58" s="26" t="n">
        <x:f>0-(A58/$N$4)^2</x:f>
        <x:v>-0.3661963049456692</x:v>
      </x:c>
      <x:c r="D58" s="26" t="n">
        <x:f>MIN(B58,$N$5)</x:f>
        <x:v>0.40725303352544023</x:v>
      </x:c>
      <x:c r="E58" s="26" t="n">
        <x:f>IF(A58&lt;=$N$7,MAX(C58,$N$6),MAX(C58,$N$6*($N$8-A58)/($N$8-$N$7)))</x:f>
        <x:v>-0.3661963049456692</x:v>
      </x:c>
      <x:c r="F58" s="26" t="n">
        <x:f>IF(A58&lt;=$N$7,1+$N$9*A58/$N$7,$N$10+(A58-$N$7)*($N$12-$N$10)/($N$8-$N$7))</x:f>
        <x:v>2.3164375836563247</x:v>
      </x:c>
      <x:c r="G58" s="26" t="n">
        <x:f>IF(A58&lt;=$N$7,1-$N$9*A58/$N$7,$N$11+(A58-$N$7)*($N$13-$N$11)/($N$8-$N$7))</x:f>
        <x:v>-0.3164375836563249</x:v>
      </x:c>
      <x:c r="H58" s="26" t="n">
        <x:f>MIN(F58,B58)</x:f>
        <x:v>0.40725303352544023</x:v>
      </x:c>
      <x:c r="I58" s="26" t="n">
        <x:f>MAX(G58,C58)</x:f>
        <x:v>-0.3164375836563249</x:v>
      </x:c>
      <x:c r="J58" s="26" t="n">
        <x:f>MAX(D58,H58)</x:f>
        <x:v>0.40725303352544023</x:v>
      </x:c>
      <x:c r="K58" s="26" t="n">
        <x:f>MIN(E58,I58)</x:f>
        <x:v>-0.3661963049456692</x:v>
      </x:c>
      <x:c r="P58" s="26" t="n">
        <x:v>27</x:v>
      </x:c>
      <x:c r="Q58" s="26" t="n">
        <x:v>0.40725303352544023</x:v>
      </x:c>
      <x:c r="R58" s="26" t="n">
        <x:v>-0.3661963049456692</x:v>
      </x:c>
      <x:c r="S58" s="26" t="n">
        <x:v>0.40725303352544023</x:v>
      </x:c>
      <x:c r="T58" s="26" t="n">
        <x:v>-0.3661963049456692</x:v>
      </x:c>
      <x:c r="U58" s="26" t="n">
        <x:v>2.3164375836563247</x:v>
      </x:c>
      <x:c r="V58" s="26" t="n">
        <x:v>-0.3164375836563249</x:v>
      </x:c>
    </x:row>
    <x:row r="59">
      <x:c r="A59" s="26" t="n">
        <x:v>27.5</x:v>
      </x:c>
      <x:c r="B59" s="26" t="n">
        <x:f>(A59/$N$3)^2</x:f>
        <x:v>0.4224761407456986</x:v>
      </x:c>
      <x:c r="C59" s="26" t="n">
        <x:f>0-(A59/$N$4)^2</x:f>
        <x:v>-0.37988471277800046</x:v>
      </x:c>
      <x:c r="D59" s="26" t="n">
        <x:f>MIN(B59,$N$5)</x:f>
        <x:v>0.4224761407456986</x:v>
      </x:c>
      <x:c r="E59" s="26" t="n">
        <x:f>IF(A59&lt;=$N$7,MAX(C59,$N$6),MAX(C59,$N$6*($N$8-A59)/($N$8-$N$7)))</x:f>
        <x:v>-0.37988471277800046</x:v>
      </x:c>
      <x:c r="F59" s="26" t="n">
        <x:f>IF(A59&lt;=$N$7,1+$N$9*A59/$N$7,$N$10+(A59-$N$7)*($N$12-$N$10)/($N$8-$N$7))</x:f>
        <x:v>2.3408160574277384</x:v>
      </x:c>
      <x:c r="G59" s="26" t="n">
        <x:f>IF(A59&lt;=$N$7,1-$N$9*A59/$N$7,$N$11+(A59-$N$7)*($N$13-$N$11)/($N$8-$N$7))</x:f>
        <x:v>-0.34081605742773813</x:v>
      </x:c>
      <x:c r="H59" s="26" t="n">
        <x:f>MIN(F59,B59)</x:f>
        <x:v>0.4224761407456986</x:v>
      </x:c>
      <x:c r="I59" s="26" t="n">
        <x:f>MAX(G59,C59)</x:f>
        <x:v>-0.34081605742773813</x:v>
      </x:c>
      <x:c r="J59" s="26" t="n">
        <x:f>MAX(D59,H59)</x:f>
        <x:v>0.4224761407456986</x:v>
      </x:c>
      <x:c r="K59" s="26" t="n">
        <x:f>MIN(E59,I59)</x:f>
        <x:v>-0.37988471277800046</x:v>
      </x:c>
      <x:c r="P59" s="26" t="n">
        <x:v>27.5</x:v>
      </x:c>
      <x:c r="Q59" s="26" t="n">
        <x:v>0.4224761407456986</x:v>
      </x:c>
      <x:c r="R59" s="26" t="n">
        <x:v>-0.37988471277800046</x:v>
      </x:c>
      <x:c r="S59" s="26" t="n">
        <x:v>0.4224761407456986</x:v>
      </x:c>
      <x:c r="T59" s="26" t="n">
        <x:v>-0.37988471277800046</x:v>
      </x:c>
      <x:c r="U59" s="26" t="n">
        <x:v>2.3408160574277384</x:v>
      </x:c>
      <x:c r="V59" s="26" t="n">
        <x:v>-0.34081605742773835</x:v>
      </x:c>
    </x:row>
    <x:row r="60">
      <x:c r="A60" s="26" t="n">
        <x:v>28</x:v>
      </x:c>
      <x:c r="B60" s="26" t="n">
        <x:f>(A60/$N$3)^2</x:f>
        <x:v>0.43797857103421844</x:v>
      </x:c>
      <x:c r="C60" s="26" t="n">
        <x:f>0-(A60/$N$4)^2</x:f>
        <x:v>-0.39382428405679654</x:v>
      </x:c>
      <x:c r="D60" s="26" t="n">
        <x:f>MIN(B60,$N$5)</x:f>
        <x:v>0.43797857103421844</x:v>
      </x:c>
      <x:c r="E60" s="26" t="n">
        <x:f>IF(A60&lt;=$N$7,MAX(C60,$N$6),MAX(C60,$N$6*($N$8-A60)/($N$8-$N$7)))</x:f>
        <x:v>-0.39382428405679654</x:v>
      </x:c>
      <x:c r="F60" s="26" t="n">
        <x:f>IF(A60&lt;=$N$7,1+$N$9*A60/$N$7,$N$10+(A60-$N$7)*($N$12-$N$10)/($N$8-$N$7))</x:f>
        <x:v>2.365194531199152</x:v>
      </x:c>
      <x:c r="G60" s="26" t="n">
        <x:f>IF(A60&lt;=$N$7,1-$N$9*A60/$N$7,$N$11+(A60-$N$7)*($N$13-$N$11)/($N$8-$N$7))</x:f>
        <x:v>-0.3651945311991518</x:v>
      </x:c>
      <x:c r="H60" s="26" t="n">
        <x:f>MIN(F60,B60)</x:f>
        <x:v>0.43797857103421844</x:v>
      </x:c>
      <x:c r="I60" s="26" t="n">
        <x:f>MAX(G60,C60)</x:f>
        <x:v>-0.3651945311991518</x:v>
      </x:c>
      <x:c r="J60" s="26" t="n">
        <x:f>MAX(D60,H60)</x:f>
        <x:v>0.43797857103421844</x:v>
      </x:c>
      <x:c r="K60" s="26" t="n">
        <x:f>MIN(E60,I60)</x:f>
        <x:v>-0.39382428405679654</x:v>
      </x:c>
      <x:c r="P60" s="26" t="n">
        <x:v>28</x:v>
      </x:c>
      <x:c r="Q60" s="26" t="n">
        <x:v>0.43797857103421844</x:v>
      </x:c>
      <x:c r="R60" s="26" t="n">
        <x:v>-0.39382428405679654</x:v>
      </x:c>
      <x:c r="S60" s="26" t="n">
        <x:v>0.43797857103421844</x:v>
      </x:c>
      <x:c r="T60" s="26" t="n">
        <x:v>-0.39382428405679654</x:v>
      </x:c>
      <x:c r="U60" s="26" t="n">
        <x:v>2.365194531199152</x:v>
      </x:c>
      <x:c r="V60" s="26" t="n">
        <x:v>-0.3651945311991518</x:v>
      </x:c>
    </x:row>
    <x:row r="61">
      <x:c r="A61" s="26" t="n">
        <x:v>28.5</x:v>
      </x:c>
      <x:c r="B61" s="26" t="n">
        <x:f>(A61/$N$3)^2</x:f>
        <x:v>0.45376032439099984</x:v>
      </x:c>
      <x:c r="C61" s="26" t="n">
        <x:f>0-(A61/$N$4)^2</x:f>
        <x:v>-0.40801501878205737</x:v>
      </x:c>
      <x:c r="D61" s="26" t="n">
        <x:f>MIN(B61,$N$5)</x:f>
        <x:v>0.45376032439099984</x:v>
      </x:c>
      <x:c r="E61" s="26" t="n">
        <x:f>IF(A61&lt;=$N$7,MAX(C61,$N$6),MAX(C61,$N$6*($N$8-A61)/($N$8-$N$7)))</x:f>
        <x:v>-0.40801501878205737</x:v>
      </x:c>
      <x:c r="F61" s="26" t="n">
        <x:f>IF(A61&lt;=$N$7,1+$N$9*A61/$N$7,$N$10+(A61-$N$7)*($N$12-$N$10)/($N$8-$N$7))</x:f>
        <x:v>2.3895730049705652</x:v>
      </x:c>
      <x:c r="G61" s="26" t="n">
        <x:f>IF(A61&lt;=$N$7,1-$N$9*A61/$N$7,$N$11+(A61-$N$7)*($N$13-$N$11)/($N$8-$N$7))</x:f>
        <x:v>-0.38957300497056524</x:v>
      </x:c>
      <x:c r="H61" s="26" t="n">
        <x:f>MIN(F61,B61)</x:f>
        <x:v>0.45376032439099984</x:v>
      </x:c>
      <x:c r="I61" s="26" t="n">
        <x:f>MAX(G61,C61)</x:f>
        <x:v>-0.38957300497056524</x:v>
      </x:c>
      <x:c r="J61" s="26" t="n">
        <x:f>MAX(D61,H61)</x:f>
        <x:v>0.45376032439099984</x:v>
      </x:c>
      <x:c r="K61" s="26" t="n">
        <x:f>MIN(E61,I61)</x:f>
        <x:v>-0.40801501878205737</x:v>
      </x:c>
      <x:c r="P61" s="26" t="n">
        <x:v>28.5</x:v>
      </x:c>
      <x:c r="Q61" s="26" t="n">
        <x:v>0.45376032439099984</x:v>
      </x:c>
      <x:c r="R61" s="26" t="n">
        <x:v>-0.40801501878205737</x:v>
      </x:c>
      <x:c r="S61" s="26" t="n">
        <x:v>0.45376032439099984</x:v>
      </x:c>
      <x:c r="T61" s="26" t="n">
        <x:v>-0.40801501878205737</x:v>
      </x:c>
      <x:c r="U61" s="26" t="n">
        <x:v>2.3895730049705652</x:v>
      </x:c>
      <x:c r="V61" s="26" t="n">
        <x:v>-0.38957300497056524</x:v>
      </x:c>
    </x:row>
    <x:row r="62">
      <x:c r="A62" s="26" t="n">
        <x:v>29</x:v>
      </x:c>
      <x:c r="B62" s="26" t="n">
        <x:f>(A62/$N$3)^2</x:f>
        <x:v>0.4698214008160429</x:v>
      </x:c>
      <x:c r="C62" s="26" t="n">
        <x:f>0-(A62/$N$4)^2</x:f>
        <x:v>-0.422456916953783</x:v>
      </x:c>
      <x:c r="D62" s="26" t="n">
        <x:f>MIN(B62,$N$5)</x:f>
        <x:v>0.4698214008160429</x:v>
      </x:c>
      <x:c r="E62" s="26" t="n">
        <x:f>IF(A62&lt;=$N$7,MAX(C62,$N$6),MAX(C62,$N$6*($N$8-A62)/($N$8-$N$7)))</x:f>
        <x:v>-0.422456916953783</x:v>
      </x:c>
      <x:c r="F62" s="26" t="n">
        <x:f>IF(A62&lt;=$N$7,1+$N$9*A62/$N$7,$N$10+(A62-$N$7)*($N$12-$N$10)/($N$8-$N$7))</x:f>
        <x:v>2.4139514787419785</x:v>
      </x:c>
      <x:c r="G62" s="26" t="n">
        <x:f>IF(A62&lt;=$N$7,1-$N$9*A62/$N$7,$N$11+(A62-$N$7)*($N$13-$N$11)/($N$8-$N$7))</x:f>
        <x:v>-0.41395147874197846</x:v>
      </x:c>
      <x:c r="H62" s="26" t="n">
        <x:f>MIN(F62,B62)</x:f>
        <x:v>0.4698214008160429</x:v>
      </x:c>
      <x:c r="I62" s="26" t="n">
        <x:f>MAX(G62,C62)</x:f>
        <x:v>-0.41395147874197846</x:v>
      </x:c>
      <x:c r="J62" s="26" t="n">
        <x:f>MAX(D62,H62)</x:f>
        <x:v>0.4698214008160429</x:v>
      </x:c>
      <x:c r="K62" s="26" t="n">
        <x:f>MIN(E62,I62)</x:f>
        <x:v>-0.422456916953783</x:v>
      </x:c>
      <x:c r="P62" s="26" t="n">
        <x:v>29</x:v>
      </x:c>
      <x:c r="Q62" s="26" t="n">
        <x:v>0.4698214008160429</x:v>
      </x:c>
      <x:c r="R62" s="26" t="n">
        <x:v>-0.422456916953783</x:v>
      </x:c>
      <x:c r="S62" s="26" t="n">
        <x:v>0.4698214008160429</x:v>
      </x:c>
      <x:c r="T62" s="26" t="n">
        <x:v>-0.422456916953783</x:v>
      </x:c>
      <x:c r="U62" s="26" t="n">
        <x:v>2.4139514787419785</x:v>
      </x:c>
      <x:c r="V62" s="26" t="n">
        <x:v>-0.4139514787419787</x:v>
      </x:c>
    </x:row>
    <x:row r="63">
      <x:c r="A63" s="26" t="n">
        <x:v>29.5</x:v>
      </x:c>
      <x:c r="B63" s="26" t="n">
        <x:f>(A63/$N$3)^2</x:f>
        <x:v>0.4861618003093476</x:v>
      </x:c>
      <x:c r="C63" s="26" t="n">
        <x:f>0-(A63/$N$4)^2</x:f>
        <x:v>-0.43714997857197346</x:v>
      </x:c>
      <x:c r="D63" s="26" t="n">
        <x:f>MIN(B63,$N$5)</x:f>
        <x:v>0.4861618003093476</x:v>
      </x:c>
      <x:c r="E63" s="26" t="n">
        <x:f>IF(A63&lt;=$N$7,MAX(C63,$N$6),MAX(C63,$N$6*($N$8-A63)/($N$8-$N$7)))</x:f>
        <x:v>-0.43714997857197346</x:v>
      </x:c>
      <x:c r="F63" s="26" t="n">
        <x:f>IF(A63&lt;=$N$7,1+$N$9*A63/$N$7,$N$10+(A63-$N$7)*($N$12-$N$10)/($N$8-$N$7))</x:f>
        <x:v>2.438329952513392</x:v>
      </x:c>
      <x:c r="G63" s="26" t="n">
        <x:f>IF(A63&lt;=$N$7,1-$N$9*A63/$N$7,$N$11+(A63-$N$7)*($N$13-$N$11)/($N$8-$N$7))</x:f>
        <x:v>-0.4383299525133919</x:v>
      </x:c>
      <x:c r="H63" s="26" t="n">
        <x:f>MIN(F63,B63)</x:f>
        <x:v>0.4861618003093476</x:v>
      </x:c>
      <x:c r="I63" s="26" t="n">
        <x:f>MAX(G63,C63)</x:f>
        <x:v>-0.43714997857197346</x:v>
      </x:c>
      <x:c r="J63" s="26" t="n">
        <x:f>MAX(D63,H63)</x:f>
        <x:v>0.4861618003093476</x:v>
      </x:c>
      <x:c r="K63" s="26" t="n">
        <x:f>MIN(E63,I63)</x:f>
        <x:v>-0.43714997857197346</x:v>
      </x:c>
      <x:c r="P63" s="26" t="n">
        <x:v>29.5</x:v>
      </x:c>
      <x:c r="Q63" s="26" t="n">
        <x:v>0.4861618003093476</x:v>
      </x:c>
      <x:c r="R63" s="26" t="n">
        <x:v>-0.43714997857197346</x:v>
      </x:c>
      <x:c r="S63" s="26" t="n">
        <x:v>0.4861618003093476</x:v>
      </x:c>
      <x:c r="T63" s="26" t="n">
        <x:v>-0.43714997857197346</x:v>
      </x:c>
      <x:c r="U63" s="26" t="n">
        <x:v>2.438329952513392</x:v>
      </x:c>
      <x:c r="V63" s="26" t="n">
        <x:v>-0.4383299525133919</x:v>
      </x:c>
    </x:row>
    <x:row r="64">
      <x:c r="A64" s="26" t="n">
        <x:v>30</x:v>
      </x:c>
      <x:c r="B64" s="26" t="n">
        <x:f>(A64/$N$3)^2</x:f>
        <x:v>0.502781522870914</x:v>
      </x:c>
      <x:c r="C64" s="26" t="n">
        <x:f>0-(A64/$N$4)^2</x:f>
        <x:v>-0.45209420363662856</x:v>
      </x:c>
      <x:c r="D64" s="26" t="n">
        <x:f>MIN(B64,$N$5)</x:f>
        <x:v>0.502781522870914</x:v>
      </x:c>
      <x:c r="E64" s="26" t="n">
        <x:f>IF(A64&lt;=$N$7,MAX(C64,$N$6),MAX(C64,$N$6*($N$8-A64)/($N$8-$N$7)))</x:f>
        <x:v>-0.45209420363662856</x:v>
      </x:c>
      <x:c r="F64" s="26" t="n">
        <x:f>IF(A64&lt;=$N$7,1+$N$9*A64/$N$7,$N$10+(A64-$N$7)*($N$12-$N$10)/($N$8-$N$7))</x:f>
        <x:v>2.462708426284806</x:v>
      </x:c>
      <x:c r="G64" s="26" t="n">
        <x:f>IF(A64&lt;=$N$7,1-$N$9*A64/$N$7,$N$11+(A64-$N$7)*($N$13-$N$11)/($N$8-$N$7))</x:f>
        <x:v>-0.4627084262848056</x:v>
      </x:c>
      <x:c r="H64" s="26" t="n">
        <x:f>MIN(F64,B64)</x:f>
        <x:v>0.502781522870914</x:v>
      </x:c>
      <x:c r="I64" s="26" t="n">
        <x:f>MAX(G64,C64)</x:f>
        <x:v>-0.45209420363662856</x:v>
      </x:c>
      <x:c r="J64" s="26" t="n">
        <x:f>MAX(D64,H64)</x:f>
        <x:v>0.502781522870914</x:v>
      </x:c>
      <x:c r="K64" s="26" t="n">
        <x:f>MIN(E64,I64)</x:f>
        <x:v>-0.45209420363662856</x:v>
      </x:c>
      <x:c r="P64" s="26" t="n">
        <x:v>30</x:v>
      </x:c>
      <x:c r="Q64" s="26" t="n">
        <x:v>0.502781522870914</x:v>
      </x:c>
      <x:c r="R64" s="26" t="n">
        <x:v>-0.45209420363662856</x:v>
      </x:c>
      <x:c r="S64" s="26" t="n">
        <x:v>0.502781522870914</x:v>
      </x:c>
      <x:c r="T64" s="26" t="n">
        <x:v>-0.45209420363662856</x:v>
      </x:c>
      <x:c r="U64" s="26" t="n">
        <x:v>2.4627084262848054</x:v>
      </x:c>
      <x:c r="V64" s="26" t="n">
        <x:v>-0.46270842628480535</x:v>
      </x:c>
    </x:row>
    <x:row r="65">
      <x:c r="A65" s="26" t="n">
        <x:v>30.5</x:v>
      </x:c>
      <x:c r="B65" s="26" t="n">
        <x:f>(A65/$N$3)^2</x:f>
        <x:v>0.519680568500742</x:v>
      </x:c>
      <x:c r="C65" s="26" t="n">
        <x:f>0-(A65/$N$4)^2</x:f>
        <x:v>-0.4672895921477486</x:v>
      </x:c>
      <x:c r="D65" s="26" t="n">
        <x:f>MIN(B65,$N$5)</x:f>
        <x:v>0.519680568500742</x:v>
      </x:c>
      <x:c r="E65" s="26" t="n">
        <x:f>IF(A65&lt;=$N$7,MAX(C65,$N$6),MAX(C65,$N$6*($N$8-A65)/($N$8-$N$7)))</x:f>
        <x:v>-0.4672895921477486</x:v>
      </x:c>
      <x:c r="F65" s="26" t="n">
        <x:f>IF(A65&lt;=$N$7,1+$N$9*A65/$N$7,$N$10+(A65-$N$7)*($N$12-$N$10)/($N$8-$N$7))</x:f>
        <x:v>2.4870869000562186</x:v>
      </x:c>
      <x:c r="G65" s="26" t="n">
        <x:f>IF(A65&lt;=$N$7,1-$N$9*A65/$N$7,$N$11+(A65-$N$7)*($N$13-$N$11)/($N$8-$N$7))</x:f>
        <x:v>-0.4870869000562188</x:v>
      </x:c>
      <x:c r="H65" s="26" t="n">
        <x:f>MIN(F65,B65)</x:f>
        <x:v>0.519680568500742</x:v>
      </x:c>
      <x:c r="I65" s="26" t="n">
        <x:f>MAX(G65,C65)</x:f>
        <x:v>-0.4672895921477486</x:v>
      </x:c>
      <x:c r="J65" s="26" t="n">
        <x:f>MAX(D65,H65)</x:f>
        <x:v>0.519680568500742</x:v>
      </x:c>
      <x:c r="K65" s="26" t="n">
        <x:f>MIN(E65,I65)</x:f>
        <x:v>-0.4672895921477486</x:v>
      </x:c>
      <x:c r="P65" s="26" t="n">
        <x:v>30.5</x:v>
      </x:c>
      <x:c r="Q65" s="26" t="n">
        <x:v>0.519680568500742</x:v>
      </x:c>
      <x:c r="R65" s="26" t="n">
        <x:v>-0.4672895921477486</x:v>
      </x:c>
      <x:c r="S65" s="26" t="n">
        <x:v>0.519680568500742</x:v>
      </x:c>
      <x:c r="T65" s="26" t="n">
        <x:v>-0.4672895921477486</x:v>
      </x:c>
      <x:c r="U65" s="26" t="n">
        <x:v>2.4870869000562186</x:v>
      </x:c>
      <x:c r="V65" s="26" t="n">
        <x:v>-0.4870869000562188</x:v>
      </x:c>
    </x:row>
    <x:row r="66">
      <x:c r="A66" s="26" t="n">
        <x:v>31</x:v>
      </x:c>
      <x:c r="B66" s="26" t="n">
        <x:f>(A66/$N$3)^2</x:f>
        <x:v>0.5368589371988315</x:v>
      </x:c>
      <x:c r="C66" s="26" t="n">
        <x:f>0-(A66/$N$4)^2</x:f>
        <x:v>-0.48273614410533344</x:v>
      </x:c>
      <x:c r="D66" s="26" t="n">
        <x:f>MIN(B66,$N$5)</x:f>
        <x:v>0.5368589371988315</x:v>
      </x:c>
      <x:c r="E66" s="26" t="n">
        <x:f>IF(A66&lt;=$N$7,MAX(C66,$N$6),MAX(C66,$N$6*($N$8-A66)/($N$8-$N$7)))</x:f>
        <x:v>-0.48273614410533344</x:v>
      </x:c>
      <x:c r="F66" s="26" t="n">
        <x:f>IF(A66&lt;=$N$7,1+$N$9*A66/$N$7,$N$10+(A66-$N$7)*($N$12-$N$10)/($N$8-$N$7))</x:f>
        <x:v>2.5114653738276322</x:v>
      </x:c>
      <x:c r="G66" s="26" t="n">
        <x:f>IF(A66&lt;=$N$7,1-$N$9*A66/$N$7,$N$11+(A66-$N$7)*($N$13-$N$11)/($N$8-$N$7))</x:f>
        <x:v>-0.5114653738276322</x:v>
      </x:c>
      <x:c r="H66" s="26" t="n">
        <x:f>MIN(F66,B66)</x:f>
        <x:v>0.5368589371988315</x:v>
      </x:c>
      <x:c r="I66" s="26" t="n">
        <x:f>MAX(G66,C66)</x:f>
        <x:v>-0.48273614410533344</x:v>
      </x:c>
      <x:c r="J66" s="26" t="n">
        <x:f>MAX(D66,H66)</x:f>
        <x:v>0.5368589371988315</x:v>
      </x:c>
      <x:c r="K66" s="26" t="n">
        <x:f>MIN(E66,I66)</x:f>
        <x:v>-0.48273614410533344</x:v>
      </x:c>
      <x:c r="P66" s="26" t="n">
        <x:v>31</x:v>
      </x:c>
      <x:c r="Q66" s="26" t="n">
        <x:v>0.5368589371988315</x:v>
      </x:c>
      <x:c r="R66" s="26" t="n">
        <x:v>-0.48273614410533344</x:v>
      </x:c>
      <x:c r="S66" s="26" t="n">
        <x:v>0.5368589371988315</x:v>
      </x:c>
      <x:c r="T66" s="26" t="n">
        <x:v>-0.48273614410533344</x:v>
      </x:c>
      <x:c r="U66" s="26" t="n">
        <x:v>2.5114653738276322</x:v>
      </x:c>
      <x:c r="V66" s="26" t="n">
        <x:v>-0.5114653738276322</x:v>
      </x:c>
    </x:row>
    <x:row r="67">
      <x:c r="A67" s="26" t="n">
        <x:v>31.5</x:v>
      </x:c>
      <x:c r="B67" s="26" t="n">
        <x:f>(A67/$N$3)^2</x:f>
        <x:v>0.5543166289651826</x:v>
      </x:c>
      <x:c r="C67" s="26" t="n">
        <x:f>0-(A67/$N$4)^2</x:f>
        <x:v>-0.49843385950938307</x:v>
      </x:c>
      <x:c r="D67" s="26" t="n">
        <x:f>MIN(B67,$N$5)</x:f>
        <x:v>0.5543166289651826</x:v>
      </x:c>
      <x:c r="E67" s="26" t="n">
        <x:f>IF(A67&lt;=$N$7,MAX(C67,$N$6),MAX(C67,$N$6*($N$8-A67)/($N$8-$N$7)))</x:f>
        <x:v>-0.49843385950938307</x:v>
      </x:c>
      <x:c r="F67" s="26" t="n">
        <x:f>IF(A67&lt;=$N$7,1+$N$9*A67/$N$7,$N$10+(A67-$N$7)*($N$12-$N$10)/($N$8-$N$7))</x:f>
        <x:v>2.535843847599046</x:v>
      </x:c>
      <x:c r="G67" s="26" t="n">
        <x:f>IF(A67&lt;=$N$7,1-$N$9*A67/$N$7,$N$11+(A67-$N$7)*($N$13-$N$11)/($N$8-$N$7))</x:f>
        <x:v>-0.5358438475990457</x:v>
      </x:c>
      <x:c r="H67" s="26" t="n">
        <x:f>MIN(F67,B67)</x:f>
        <x:v>0.5543166289651826</x:v>
      </x:c>
      <x:c r="I67" s="26" t="n">
        <x:f>MAX(G67,C67)</x:f>
        <x:v>-0.49843385950938307</x:v>
      </x:c>
      <x:c r="J67" s="26" t="n">
        <x:f>MAX(D67,H67)</x:f>
        <x:v>0.5543166289651826</x:v>
      </x:c>
      <x:c r="K67" s="26" t="n">
        <x:f>MIN(E67,I67)</x:f>
        <x:v>-0.49843385950938307</x:v>
      </x:c>
      <x:c r="P67" s="26" t="n">
        <x:v>31.5</x:v>
      </x:c>
      <x:c r="Q67" s="26" t="n">
        <x:v>0.5543166289651826</x:v>
      </x:c>
      <x:c r="R67" s="26" t="n">
        <x:v>-0.49843385950938307</x:v>
      </x:c>
      <x:c r="S67" s="26" t="n">
        <x:v>0.5543166289651826</x:v>
      </x:c>
      <x:c r="T67" s="26" t="n">
        <x:v>-0.49843385950938307</x:v>
      </x:c>
      <x:c r="U67" s="26" t="n">
        <x:v>2.535843847599046</x:v>
      </x:c>
      <x:c r="V67" s="26" t="n">
        <x:v>-0.5358438475990457</x:v>
      </x:c>
    </x:row>
    <x:row r="68">
      <x:c r="A68" s="26" t="n">
        <x:v>32</x:v>
      </x:c>
      <x:c r="B68" s="26" t="n">
        <x:f>(A68/$N$3)^2</x:f>
        <x:v>0.5720536437997954</x:v>
      </x:c>
      <x:c r="C68" s="26" t="n">
        <x:f>0-(A68/$N$4)^2</x:f>
        <x:v>-0.5143827383598975</x:v>
      </x:c>
      <x:c r="D68" s="26" t="n">
        <x:f>MIN(B68,$N$5)</x:f>
        <x:v>0.5720536437997954</x:v>
      </x:c>
      <x:c r="E68" s="26" t="n">
        <x:f>IF(A68&lt;=$N$7,MAX(C68,$N$6),MAX(C68,$N$6*($N$8-A68)/($N$8-$N$7)))</x:f>
        <x:v>-0.5143827383598975</x:v>
      </x:c>
      <x:c r="F68" s="26" t="n">
        <x:f>IF(A68&lt;=$N$7,1+$N$9*A68/$N$7,$N$10+(A68-$N$7)*($N$12-$N$10)/($N$8-$N$7))</x:f>
        <x:v>2.560222321370459</x:v>
      </x:c>
      <x:c r="G68" s="26" t="n">
        <x:f>IF(A68&lt;=$N$7,1-$N$9*A68/$N$7,$N$11+(A68-$N$7)*($N$13-$N$11)/($N$8-$N$7))</x:f>
        <x:v>-0.5602223213704591</x:v>
      </x:c>
      <x:c r="H68" s="26" t="n">
        <x:f>MIN(F68,B68)</x:f>
        <x:v>0.5720536437997954</x:v>
      </x:c>
      <x:c r="I68" s="26" t="n">
        <x:f>MAX(G68,C68)</x:f>
        <x:v>-0.5143827383598975</x:v>
      </x:c>
      <x:c r="J68" s="26" t="n">
        <x:f>MAX(D68,H68)</x:f>
        <x:v>0.5720536437997954</x:v>
      </x:c>
      <x:c r="K68" s="26" t="n">
        <x:f>MIN(E68,I68)</x:f>
        <x:v>-0.5143827383598975</x:v>
      </x:c>
      <x:c r="P68" s="26" t="n">
        <x:v>32</x:v>
      </x:c>
      <x:c r="Q68" s="26" t="n">
        <x:v>0.5720536437997954</x:v>
      </x:c>
      <x:c r="R68" s="26" t="n">
        <x:v>-0.5143827383598975</x:v>
      </x:c>
      <x:c r="S68" s="26" t="n">
        <x:v>0.5720536437997954</x:v>
      </x:c>
      <x:c r="T68" s="26" t="n">
        <x:v>-0.5143827383598975</x:v>
      </x:c>
      <x:c r="U68" s="26" t="n">
        <x:v>2.560222321370459</x:v>
      </x:c>
      <x:c r="V68" s="26" t="n">
        <x:v>-0.5602223213704591</x:v>
      </x:c>
    </x:row>
    <x:row r="69">
      <x:c r="A69" s="26" t="n">
        <x:v>32.5</x:v>
      </x:c>
      <x:c r="B69" s="26" t="n">
        <x:f>(A69/$N$3)^2</x:f>
        <x:v>0.59006998170267</x:v>
      </x:c>
      <x:c r="C69" s="26" t="n">
        <x:f>0-(A69/$N$4)^2</x:f>
        <x:v>-0.5305827806568767</x:v>
      </x:c>
      <x:c r="D69" s="26" t="n">
        <x:f>MIN(B69,$N$5)</x:f>
        <x:v>0.59006998170267</x:v>
      </x:c>
      <x:c r="E69" s="26" t="n">
        <x:f>IF(A69&lt;=$N$7,MAX(C69,$N$6),MAX(C69,$N$6*($N$8-A69)/($N$8-$N$7)))</x:f>
        <x:v>-0.5305827806568767</x:v>
      </x:c>
      <x:c r="F69" s="26" t="n">
        <x:f>IF(A69&lt;=$N$7,1+$N$9*A69/$N$7,$N$10+(A69-$N$7)*($N$12-$N$10)/($N$8-$N$7))</x:f>
        <x:v>2.5846007951418724</x:v>
      </x:c>
      <x:c r="G69" s="26" t="n">
        <x:f>IF(A69&lt;=$N$7,1-$N$9*A69/$N$7,$N$11+(A69-$N$7)*($N$13-$N$11)/($N$8-$N$7))</x:f>
        <x:v>-0.5846007951418726</x:v>
      </x:c>
      <x:c r="H69" s="26" t="n">
        <x:f>MIN(F69,B69)</x:f>
        <x:v>0.59006998170267</x:v>
      </x:c>
      <x:c r="I69" s="26" t="n">
        <x:f>MAX(G69,C69)</x:f>
        <x:v>-0.5305827806568767</x:v>
      </x:c>
      <x:c r="J69" s="26" t="n">
        <x:f>MAX(D69,H69)</x:f>
        <x:v>0.59006998170267</x:v>
      </x:c>
      <x:c r="K69" s="26" t="n">
        <x:f>MIN(E69,I69)</x:f>
        <x:v>-0.5305827806568767</x:v>
      </x:c>
      <x:c r="P69" s="26" t="n">
        <x:v>32.5</x:v>
      </x:c>
      <x:c r="Q69" s="26" t="n">
        <x:v>0.59006998170267</x:v>
      </x:c>
      <x:c r="R69" s="26" t="n">
        <x:v>-0.5305827806568767</x:v>
      </x:c>
      <x:c r="S69" s="26" t="n">
        <x:v>0.59006998170267</x:v>
      </x:c>
      <x:c r="T69" s="26" t="n">
        <x:v>-0.5305827806568767</x:v>
      </x:c>
      <x:c r="U69" s="26" t="n">
        <x:v>2.5846007951418724</x:v>
      </x:c>
      <x:c r="V69" s="26" t="n">
        <x:v>-0.5846007951418726</x:v>
      </x:c>
    </x:row>
    <x:row r="70">
      <x:c r="A70" s="26" t="n">
        <x:v>33</x:v>
      </x:c>
      <x:c r="B70" s="26" t="n">
        <x:f>(A70/$N$3)^2</x:f>
        <x:v>0.608365642673806</x:v>
      </x:c>
      <x:c r="C70" s="26" t="n">
        <x:f>0-(A70/$N$4)^2</x:f>
        <x:v>-0.5470339864003206</x:v>
      </x:c>
      <x:c r="D70" s="26" t="n">
        <x:f>MIN(B70,$N$5)</x:f>
        <x:v>0.608365642673806</x:v>
      </x:c>
      <x:c r="E70" s="26" t="n">
        <x:f>IF(A70&lt;=$N$7,MAX(C70,$N$6),MAX(C70,$N$6*($N$8-A70)/($N$8-$N$7)))</x:f>
        <x:v>-0.5470339864003206</x:v>
      </x:c>
      <x:c r="F70" s="26" t="n">
        <x:f>IF(A70&lt;=$N$7,1+$N$9*A70/$N$7,$N$10+(A70-$N$7)*($N$12-$N$10)/($N$8-$N$7))</x:f>
        <x:v>2.608979268913286</x:v>
      </x:c>
      <x:c r="G70" s="26" t="n">
        <x:f>IF(A70&lt;=$N$7,1-$N$9*A70/$N$7,$N$11+(A70-$N$7)*($N$13-$N$11)/($N$8-$N$7))</x:f>
        <x:v>-0.6089792689132858</x:v>
      </x:c>
      <x:c r="H70" s="26" t="n">
        <x:f>MIN(F70,B70)</x:f>
        <x:v>0.608365642673806</x:v>
      </x:c>
      <x:c r="I70" s="26" t="n">
        <x:f>MAX(G70,C70)</x:f>
        <x:v>-0.5470339864003206</x:v>
      </x:c>
      <x:c r="J70" s="26" t="n">
        <x:f>MAX(D70,H70)</x:f>
        <x:v>0.608365642673806</x:v>
      </x:c>
      <x:c r="K70" s="26" t="n">
        <x:f>MIN(E70,I70)</x:f>
        <x:v>-0.5470339864003206</x:v>
      </x:c>
      <x:c r="P70" s="26" t="n">
        <x:v>33</x:v>
      </x:c>
      <x:c r="Q70" s="26" t="n">
        <x:v>0.608365642673806</x:v>
      </x:c>
      <x:c r="R70" s="26" t="n">
        <x:v>-0.5470339864003206</x:v>
      </x:c>
      <x:c r="S70" s="26" t="n">
        <x:v>0.608365642673806</x:v>
      </x:c>
      <x:c r="T70" s="26" t="n">
        <x:v>-0.5470339864003206</x:v>
      </x:c>
      <x:c r="U70" s="26" t="n">
        <x:v>2.608979268913286</x:v>
      </x:c>
      <x:c r="V70" s="26" t="n">
        <x:v>-0.608979268913286</x:v>
      </x:c>
    </x:row>
    <x:row r="71">
      <x:c r="A71" s="26" t="n">
        <x:v>33.5</x:v>
      </x:c>
      <x:c r="B71" s="26" t="n">
        <x:f>(A71/$N$3)^2</x:f>
        <x:v>0.6269406267132036</x:v>
      </x:c>
      <x:c r="C71" s="26" t="n">
        <x:f>0-(A71/$N$4)^2</x:f>
        <x:v>-0.5637363555902295</x:v>
      </x:c>
      <x:c r="D71" s="26" t="n">
        <x:f>MIN(B71,$N$5)</x:f>
        <x:v>0.6269406267132036</x:v>
      </x:c>
      <x:c r="E71" s="26" t="n">
        <x:f>IF(A71&lt;=$N$7,MAX(C71,$N$6),MAX(C71,$N$6*($N$8-A71)/($N$8-$N$7)))</x:f>
        <x:v>-0.5637363555902295</x:v>
      </x:c>
      <x:c r="F71" s="26" t="n">
        <x:f>IF(A71&lt;=$N$7,1+$N$9*A71/$N$7,$N$10+(A71-$N$7)*($N$12-$N$10)/($N$8-$N$7))</x:f>
        <x:v>2.6333577426846997</x:v>
      </x:c>
      <x:c r="G71" s="26" t="n">
        <x:f>IF(A71&lt;=$N$7,1-$N$9*A71/$N$7,$N$11+(A71-$N$7)*($N$13-$N$11)/($N$8-$N$7))</x:f>
        <x:v>-0.6333577426846995</x:v>
      </x:c>
      <x:c r="H71" s="26" t="n">
        <x:f>MIN(F71,B71)</x:f>
        <x:v>0.6269406267132036</x:v>
      </x:c>
      <x:c r="I71" s="26" t="n">
        <x:f>MAX(G71,C71)</x:f>
        <x:v>-0.5637363555902295</x:v>
      </x:c>
      <x:c r="J71" s="26" t="n">
        <x:f>MAX(D71,H71)</x:f>
        <x:v>0.6269406267132036</x:v>
      </x:c>
      <x:c r="K71" s="26" t="n">
        <x:f>MIN(E71,I71)</x:f>
        <x:v>-0.5637363555902295</x:v>
      </x:c>
      <x:c r="P71" s="26" t="n">
        <x:v>33.5</x:v>
      </x:c>
      <x:c r="Q71" s="26" t="n">
        <x:v>0.6269406267132036</x:v>
      </x:c>
      <x:c r="R71" s="26" t="n">
        <x:v>-0.5637363555902295</x:v>
      </x:c>
      <x:c r="S71" s="26" t="n">
        <x:v>0.6269406267132036</x:v>
      </x:c>
      <x:c r="T71" s="26" t="n">
        <x:v>-0.5637363555902295</x:v>
      </x:c>
      <x:c r="U71" s="26" t="n">
        <x:v>2.6333577426846997</x:v>
      </x:c>
      <x:c r="V71" s="26" t="n">
        <x:v>-0.6333577426846995</x:v>
      </x:c>
    </x:row>
    <x:row r="72">
      <x:c r="A72" s="26" t="n">
        <x:v>34</x:v>
      </x:c>
      <x:c r="B72" s="26" t="n">
        <x:f>(A72/$N$3)^2</x:f>
        <x:v>0.6457949338208628</x:v>
      </x:c>
      <x:c r="C72" s="26" t="n">
        <x:f>0-(A72/$N$4)^2</x:f>
        <x:v>-0.5806898882266031</x:v>
      </x:c>
      <x:c r="D72" s="26" t="n">
        <x:f>MIN(B72,$N$5)</x:f>
        <x:v>0.6457949338208628</x:v>
      </x:c>
      <x:c r="E72" s="26" t="n">
        <x:f>IF(A72&lt;=$N$7,MAX(C72,$N$6),MAX(C72,$N$6*($N$8-A72)/($N$8-$N$7)))</x:f>
        <x:v>-0.5806898882266031</x:v>
      </x:c>
      <x:c r="F72" s="26" t="n">
        <x:f>IF(A72&lt;=$N$7,1+$N$9*A72/$N$7,$N$10+(A72-$N$7)*($N$12-$N$10)/($N$8-$N$7))</x:f>
        <x:v>2.6577362164561125</x:v>
      </x:c>
      <x:c r="G72" s="26" t="n">
        <x:f>IF(A72&lt;=$N$7,1-$N$9*A72/$N$7,$N$11+(A72-$N$7)*($N$13-$N$11)/($N$8-$N$7))</x:f>
        <x:v>-0.6577362164561127</x:v>
      </x:c>
      <x:c r="H72" s="26" t="n">
        <x:f>MIN(F72,B72)</x:f>
        <x:v>0.6457949338208628</x:v>
      </x:c>
      <x:c r="I72" s="26" t="n">
        <x:f>MAX(G72,C72)</x:f>
        <x:v>-0.5806898882266031</x:v>
      </x:c>
      <x:c r="J72" s="26" t="n">
        <x:f>MAX(D72,H72)</x:f>
        <x:v>0.6457949338208628</x:v>
      </x:c>
      <x:c r="K72" s="26" t="n">
        <x:f>MIN(E72,I72)</x:f>
        <x:v>-0.5806898882266031</x:v>
      </x:c>
      <x:c r="P72" s="26" t="n">
        <x:v>34</x:v>
      </x:c>
      <x:c r="Q72" s="26" t="n">
        <x:v>0.6457949338208628</x:v>
      </x:c>
      <x:c r="R72" s="26" t="n">
        <x:v>-0.5806898882266031</x:v>
      </x:c>
      <x:c r="S72" s="26" t="n">
        <x:v>0.6457949338208628</x:v>
      </x:c>
      <x:c r="T72" s="26" t="n">
        <x:v>-0.5806898882266031</x:v>
      </x:c>
      <x:c r="U72" s="26" t="n">
        <x:v>2.657736216456113</x:v>
      </x:c>
      <x:c r="V72" s="26" t="n">
        <x:v>-0.6577362164561129</x:v>
      </x:c>
    </x:row>
    <x:row r="73">
      <x:c r="A73" s="26" t="n">
        <x:v>34.5</x:v>
      </x:c>
      <x:c r="B73" s="26" t="n">
        <x:f>(A73/$N$3)^2</x:f>
        <x:v>0.6649285639967837</x:v>
      </x:c>
      <x:c r="C73" s="26" t="n">
        <x:f>0-(A73/$N$4)^2</x:f>
        <x:v>-0.5978945843094414</x:v>
      </x:c>
      <x:c r="D73" s="26" t="n">
        <x:f>MIN(B73,$N$5)</x:f>
        <x:v>0.6649285639967837</x:v>
      </x:c>
      <x:c r="E73" s="26" t="n">
        <x:f>IF(A73&lt;=$N$7,MAX(C73,$N$6),MAX(C73,$N$6*($N$8-A73)/($N$8-$N$7)))</x:f>
        <x:v>-0.5978945843094414</x:v>
      </x:c>
      <x:c r="F73" s="26" t="n">
        <x:f>IF(A73&lt;=$N$7,1+$N$9*A73/$N$7,$N$10+(A73-$N$7)*($N$12-$N$10)/($N$8-$N$7))</x:f>
        <x:v>2.682114690227526</x:v>
      </x:c>
      <x:c r="G73" s="26" t="n">
        <x:f>IF(A73&lt;=$N$7,1-$N$9*A73/$N$7,$N$11+(A73-$N$7)*($N$13-$N$11)/($N$8-$N$7))</x:f>
        <x:v>-0.6821146902275261</x:v>
      </x:c>
      <x:c r="H73" s="26" t="n">
        <x:f>MIN(F73,B73)</x:f>
        <x:v>0.6649285639967837</x:v>
      </x:c>
      <x:c r="I73" s="26" t="n">
        <x:f>MAX(G73,C73)</x:f>
        <x:v>-0.5978945843094414</x:v>
      </x:c>
      <x:c r="J73" s="26" t="n">
        <x:f>MAX(D73,H73)</x:f>
        <x:v>0.6649285639967837</x:v>
      </x:c>
      <x:c r="K73" s="26" t="n">
        <x:f>MIN(E73,I73)</x:f>
        <x:v>-0.5978945843094414</x:v>
      </x:c>
      <x:c r="P73" s="26" t="n">
        <x:v>34.5</x:v>
      </x:c>
      <x:c r="Q73" s="26" t="n">
        <x:v>0.6649285639967837</x:v>
      </x:c>
      <x:c r="R73" s="26" t="n">
        <x:v>-0.5978945843094414</x:v>
      </x:c>
      <x:c r="S73" s="26" t="n">
        <x:v>0.6649285639967837</x:v>
      </x:c>
      <x:c r="T73" s="26" t="n">
        <x:v>-0.5978945843094414</x:v>
      </x:c>
      <x:c r="U73" s="26" t="n">
        <x:v>2.682114690227526</x:v>
      </x:c>
      <x:c r="V73" s="26" t="n">
        <x:v>-0.6821146902275264</x:v>
      </x:c>
    </x:row>
    <x:row r="74">
      <x:c r="A74" s="26" t="n">
        <x:v>35</x:v>
      </x:c>
      <x:c r="B74" s="26" t="n">
        <x:f>(A74/$N$3)^2</x:f>
        <x:v>0.6843415172409664</x:v>
      </x:c>
      <x:c r="C74" s="26" t="n">
        <x:f>0-(A74/$N$4)^2</x:f>
        <x:v>-0.6153504438387446</x:v>
      </x:c>
      <x:c r="D74" s="26" t="n">
        <x:f>MIN(B74,$N$5)</x:f>
        <x:v>0.6843415172409664</x:v>
      </x:c>
      <x:c r="E74" s="26" t="n">
        <x:f>IF(A74&lt;=$N$7,MAX(C74,$N$6),MAX(C74,$N$6*($N$8-A74)/($N$8-$N$7)))</x:f>
        <x:v>-0.6153504438387446</x:v>
      </x:c>
      <x:c r="F74" s="26" t="n">
        <x:f>IF(A74&lt;=$N$7,1+$N$9*A74/$N$7,$N$10+(A74-$N$7)*($N$12-$N$10)/($N$8-$N$7))</x:f>
        <x:v>2.70649316399894</x:v>
      </x:c>
      <x:c r="G74" s="26" t="n">
        <x:f>IF(A74&lt;=$N$7,1-$N$9*A74/$N$7,$N$11+(A74-$N$7)*($N$13-$N$11)/($N$8-$N$7))</x:f>
        <x:v>-0.7064931639989398</x:v>
      </x:c>
      <x:c r="H74" s="26" t="n">
        <x:f>MIN(F74,B74)</x:f>
        <x:v>0.6843415172409664</x:v>
      </x:c>
      <x:c r="I74" s="26" t="n">
        <x:f>MAX(G74,C74)</x:f>
        <x:v>-0.6153504438387446</x:v>
      </x:c>
      <x:c r="J74" s="26" t="n">
        <x:f>MAX(D74,H74)</x:f>
        <x:v>0.6843415172409664</x:v>
      </x:c>
      <x:c r="K74" s="26" t="n">
        <x:f>MIN(E74,I74)</x:f>
        <x:v>-0.6153504438387446</x:v>
      </x:c>
      <x:c r="P74" s="26" t="n">
        <x:v>35</x:v>
      </x:c>
      <x:c r="Q74" s="26" t="n">
        <x:v>0.6843415172409664</x:v>
      </x:c>
      <x:c r="R74" s="26" t="n">
        <x:v>-0.6153504438387446</x:v>
      </x:c>
      <x:c r="S74" s="26" t="n">
        <x:v>0.6843415172409664</x:v>
      </x:c>
      <x:c r="T74" s="26" t="n">
        <x:v>-0.6153504438387446</x:v>
      </x:c>
      <x:c r="U74" s="26" t="n">
        <x:v>2.70649316399894</x:v>
      </x:c>
      <x:c r="V74" s="26" t="n">
        <x:v>-0.7064931639989396</x:v>
      </x:c>
    </x:row>
    <x:row r="75">
      <x:c r="A75" s="26" t="n">
        <x:v>35.5</x:v>
      </x:c>
      <x:c r="B75" s="26" t="n">
        <x:f>(A75/$N$3)^2</x:f>
        <x:v>0.7040337935534104</x:v>
      </x:c>
      <x:c r="C75" s="26" t="n">
        <x:f>0-(A75/$N$4)^2</x:f>
        <x:v>-0.6330574668145124</x:v>
      </x:c>
      <x:c r="D75" s="26" t="n">
        <x:f>MIN(B75,$N$5)</x:f>
        <x:v>0.7040337935534104</x:v>
      </x:c>
      <x:c r="E75" s="26" t="n">
        <x:f>IF(A75&lt;=$N$7,MAX(C75,$N$6),MAX(C75,$N$6*($N$8-A75)/($N$8-$N$7)))</x:f>
        <x:v>-0.6330574668145124</x:v>
      </x:c>
      <x:c r="F75" s="26" t="n">
        <x:f>IF(A75&lt;=$N$7,1+$N$9*A75/$N$7,$N$10+(A75-$N$7)*($N$12-$N$10)/($N$8-$N$7))</x:f>
        <x:v>2.730871637770353</x:v>
      </x:c>
      <x:c r="G75" s="26" t="n">
        <x:f>IF(A75&lt;=$N$7,1-$N$9*A75/$N$7,$N$11+(A75-$N$7)*($N$13-$N$11)/($N$8-$N$7))</x:f>
        <x:v>-0.730871637770353</x:v>
      </x:c>
      <x:c r="H75" s="26" t="n">
        <x:f>MIN(F75,B75)</x:f>
        <x:v>0.7040337935534104</x:v>
      </x:c>
      <x:c r="I75" s="26" t="n">
        <x:f>MAX(G75,C75)</x:f>
        <x:v>-0.6330574668145124</x:v>
      </x:c>
      <x:c r="J75" s="26" t="n">
        <x:f>MAX(D75,H75)</x:f>
        <x:v>0.7040337935534104</x:v>
      </x:c>
      <x:c r="K75" s="26" t="n">
        <x:f>MIN(E75,I75)</x:f>
        <x:v>-0.6330574668145124</x:v>
      </x:c>
      <x:c r="P75" s="26" t="n">
        <x:v>35.5</x:v>
      </x:c>
      <x:c r="Q75" s="26" t="n">
        <x:v>0.7040337935534104</x:v>
      </x:c>
      <x:c r="R75" s="26" t="n">
        <x:v>-0.6330574668145124</x:v>
      </x:c>
      <x:c r="S75" s="26" t="n">
        <x:v>0.7040337935534104</x:v>
      </x:c>
      <x:c r="T75" s="26" t="n">
        <x:v>-0.6330574668145124</x:v>
      </x:c>
      <x:c r="U75" s="26" t="n">
        <x:v>2.730871637770353</x:v>
      </x:c>
      <x:c r="V75" s="26" t="n">
        <x:v>-0.730871637770353</x:v>
      </x:c>
    </x:row>
    <x:row r="76">
      <x:c r="A76" s="26" t="n">
        <x:v>36</x:v>
      </x:c>
      <x:c r="B76" s="26" t="n">
        <x:f>(A76/$N$3)^2</x:f>
        <x:v>0.7240053929341161</x:v>
      </x:c>
      <x:c r="C76" s="26" t="n">
        <x:f>0-(A76/$N$4)^2</x:f>
        <x:v>-0.6510156532367452</x:v>
      </x:c>
      <x:c r="D76" s="26" t="n">
        <x:f>MIN(B76,$N$5)</x:f>
        <x:v>0.7240053929341161</x:v>
      </x:c>
      <x:c r="E76" s="26" t="n">
        <x:f>IF(A76&lt;=$N$7,MAX(C76,$N$6),MAX(C76,$N$6*($N$8-A76)/($N$8-$N$7)))</x:f>
        <x:v>-0.6510156532367452</x:v>
      </x:c>
      <x:c r="F76" s="26" t="n">
        <x:f>IF(A76&lt;=$N$7,1+$N$9*A76/$N$7,$N$10+(A76-$N$7)*($N$12-$N$10)/($N$8-$N$7))</x:f>
        <x:v>2.7552501115417662</x:v>
      </x:c>
      <x:c r="G76" s="26" t="n">
        <x:f>IF(A76&lt;=$N$7,1-$N$9*A76/$N$7,$N$11+(A76-$N$7)*($N$13-$N$11)/($N$8-$N$7))</x:f>
        <x:v>-0.7552501115417665</x:v>
      </x:c>
      <x:c r="H76" s="26" t="n">
        <x:f>MIN(F76,B76)</x:f>
        <x:v>0.7240053929341161</x:v>
      </x:c>
      <x:c r="I76" s="26" t="n">
        <x:f>MAX(G76,C76)</x:f>
        <x:v>-0.6510156532367452</x:v>
      </x:c>
      <x:c r="J76" s="26" t="n">
        <x:f>MAX(D76,H76)</x:f>
        <x:v>0.7240053929341161</x:v>
      </x:c>
      <x:c r="K76" s="26" t="n">
        <x:f>MIN(E76,I76)</x:f>
        <x:v>-0.6510156532367452</x:v>
      </x:c>
      <x:c r="P76" s="26" t="n">
        <x:v>36</x:v>
      </x:c>
      <x:c r="Q76" s="26" t="n">
        <x:v>0.7240053929341161</x:v>
      </x:c>
      <x:c r="R76" s="26" t="n">
        <x:v>-0.6510156532367452</x:v>
      </x:c>
      <x:c r="S76" s="26" t="n">
        <x:v>0.7240053929341161</x:v>
      </x:c>
      <x:c r="T76" s="26" t="n">
        <x:v>-0.6510156532367452</x:v>
      </x:c>
      <x:c r="U76" s="26" t="n">
        <x:v>2.7552501115417662</x:v>
      </x:c>
      <x:c r="V76" s="26" t="n">
        <x:v>-0.7552501115417665</x:v>
      </x:c>
    </x:row>
    <x:row r="77">
      <x:c r="A77" s="26" t="n">
        <x:v>36.5</x:v>
      </x:c>
      <x:c r="B77" s="26" t="n">
        <x:f>(A77/$N$3)^2</x:f>
        <x:v>0.7442563153830835</x:v>
      </x:c>
      <x:c r="C77" s="26" t="n">
        <x:f>0-(A77/$N$4)^2</x:f>
        <x:v>-0.6692250031054428</x:v>
      </x:c>
      <x:c r="D77" s="26" t="n">
        <x:f>MIN(B77,$N$5)</x:f>
        <x:v>0.7442563153830835</x:v>
      </x:c>
      <x:c r="E77" s="26" t="n">
        <x:f>IF(A77&lt;=$N$7,MAX(C77,$N$6),MAX(C77,$N$6*($N$8-A77)/($N$8-$N$7)))</x:f>
        <x:v>-0.6692250031054428</x:v>
      </x:c>
      <x:c r="F77" s="26" t="n">
        <x:f>IF(A77&lt;=$N$7,1+$N$9*A77/$N$7,$N$10+(A77-$N$7)*($N$12-$N$10)/($N$8-$N$7))</x:f>
        <x:v>2.77962858531318</x:v>
      </x:c>
      <x:c r="G77" s="26" t="n">
        <x:f>IF(A77&lt;=$N$7,1-$N$9*A77/$N$7,$N$11+(A77-$N$7)*($N$13-$N$11)/($N$8-$N$7))</x:f>
        <x:v>-0.7796285853131799</x:v>
      </x:c>
      <x:c r="H77" s="26" t="n">
        <x:f>MIN(F77,B77)</x:f>
        <x:v>0.7442563153830835</x:v>
      </x:c>
      <x:c r="I77" s="26" t="n">
        <x:f>MAX(G77,C77)</x:f>
        <x:v>-0.6692250031054428</x:v>
      </x:c>
      <x:c r="J77" s="26" t="n">
        <x:f>MAX(D77,H77)</x:f>
        <x:v>0.7442563153830835</x:v>
      </x:c>
      <x:c r="K77" s="26" t="n">
        <x:f>MIN(E77,I77)</x:f>
        <x:v>-0.6692250031054428</x:v>
      </x:c>
      <x:c r="P77" s="26" t="n">
        <x:v>36.5</x:v>
      </x:c>
      <x:c r="Q77" s="26" t="n">
        <x:v>0.7442563153830835</x:v>
      </x:c>
      <x:c r="R77" s="26" t="n">
        <x:v>-0.6692250031054428</x:v>
      </x:c>
      <x:c r="S77" s="26" t="n">
        <x:v>0.7442563153830835</x:v>
      </x:c>
      <x:c r="T77" s="26" t="n">
        <x:v>-0.6692250031054428</x:v>
      </x:c>
      <x:c r="U77" s="26" t="n">
        <x:v>2.77962858531318</x:v>
      </x:c>
      <x:c r="V77" s="26" t="n">
        <x:v>-0.7796285853131799</x:v>
      </x:c>
    </x:row>
    <x:row r="78">
      <x:c r="A78" s="26" t="n">
        <x:v>37</x:v>
      </x:c>
      <x:c r="B78" s="26" t="n">
        <x:f>(A78/$N$3)^2</x:f>
        <x:v>0.7647865609003124</x:v>
      </x:c>
      <x:c r="C78" s="26" t="n">
        <x:f>0-(A78/$N$4)^2</x:f>
        <x:v>-0.687685516420605</x:v>
      </x:c>
      <x:c r="D78" s="26" t="n">
        <x:f>MIN(B78,$N$5)</x:f>
        <x:v>0.7647865609003124</x:v>
      </x:c>
      <x:c r="E78" s="26" t="n">
        <x:f>IF(A78&lt;=$N$7,MAX(C78,$N$6),MAX(C78,$N$6*($N$8-A78)/($N$8-$N$7)))</x:f>
        <x:v>-0.687685516420605</x:v>
      </x:c>
      <x:c r="F78" s="26" t="n">
        <x:f>IF(A78&lt;=$N$7,1+$N$9*A78/$N$7,$N$10+(A78-$N$7)*($N$12-$N$10)/($N$8-$N$7))</x:f>
        <x:v>2.8040070590845936</x:v>
      </x:c>
      <x:c r="G78" s="26" t="n">
        <x:f>IF(A78&lt;=$N$7,1-$N$9*A78/$N$7,$N$11+(A78-$N$7)*($N$13-$N$11)/($N$8-$N$7))</x:f>
        <x:v>-0.8040070590845934</x:v>
      </x:c>
      <x:c r="H78" s="26" t="n">
        <x:f>MIN(F78,B78)</x:f>
        <x:v>0.7647865609003124</x:v>
      </x:c>
      <x:c r="I78" s="26" t="n">
        <x:f>MAX(G78,C78)</x:f>
        <x:v>-0.687685516420605</x:v>
      </x:c>
      <x:c r="J78" s="26" t="n">
        <x:f>MAX(D78,H78)</x:f>
        <x:v>0.7647865609003124</x:v>
      </x:c>
      <x:c r="K78" s="26" t="n">
        <x:f>MIN(E78,I78)</x:f>
        <x:v>-0.687685516420605</x:v>
      </x:c>
      <x:c r="P78" s="26" t="n">
        <x:v>37</x:v>
      </x:c>
      <x:c r="Q78" s="26" t="n">
        <x:v>0.7647865609003124</x:v>
      </x:c>
      <x:c r="R78" s="26" t="n">
        <x:v>-0.687685516420605</x:v>
      </x:c>
      <x:c r="S78" s="26" t="n">
        <x:v>0.7647865609003124</x:v>
      </x:c>
      <x:c r="T78" s="26" t="n">
        <x:v>-0.687685516420605</x:v>
      </x:c>
      <x:c r="U78" s="26" t="n">
        <x:v>2.8040070590845936</x:v>
      </x:c>
      <x:c r="V78" s="26" t="n">
        <x:v>-0.8040070590845934</x:v>
      </x:c>
    </x:row>
    <x:row r="79">
      <x:c r="A79" s="26" t="n">
        <x:v>37.5</x:v>
      </x:c>
      <x:c r="B79" s="26" t="n">
        <x:f>(A79/$N$3)^2</x:f>
        <x:v>0.785596129485803</x:v>
      </x:c>
      <x:c r="C79" s="26" t="n">
        <x:f>0-(A79/$N$4)^2</x:f>
        <x:v>-0.7063971931822323</x:v>
      </x:c>
      <x:c r="D79" s="26" t="n">
        <x:f>MIN(B79,$N$5)</x:f>
        <x:v>0.785596129485803</x:v>
      </x:c>
      <x:c r="E79" s="26" t="n">
        <x:f>IF(A79&lt;=$N$7,MAX(C79,$N$6),MAX(C79,$N$6*($N$8-A79)/($N$8-$N$7)))</x:f>
        <x:v>-0.7063971931822323</x:v>
      </x:c>
      <x:c r="F79" s="26" t="n">
        <x:f>IF(A79&lt;=$N$7,1+$N$9*A79/$N$7,$N$10+(A79-$N$7)*($N$12-$N$10)/($N$8-$N$7))</x:f>
        <x:v>2.828385532856007</x:v>
      </x:c>
      <x:c r="G79" s="26" t="n">
        <x:f>IF(A79&lt;=$N$7,1-$N$9*A79/$N$7,$N$11+(A79-$N$7)*($N$13-$N$11)/($N$8-$N$7))</x:f>
        <x:v>-0.8283855328560068</x:v>
      </x:c>
      <x:c r="H79" s="26" t="n">
        <x:f>MIN(F79,B79)</x:f>
        <x:v>0.785596129485803</x:v>
      </x:c>
      <x:c r="I79" s="26" t="n">
        <x:f>MAX(G79,C79)</x:f>
        <x:v>-0.7063971931822323</x:v>
      </x:c>
      <x:c r="J79" s="26" t="n">
        <x:f>MAX(D79,H79)</x:f>
        <x:v>0.785596129485803</x:v>
      </x:c>
      <x:c r="K79" s="26" t="n">
        <x:f>MIN(E79,I79)</x:f>
        <x:v>-0.7063971931822323</x:v>
      </x:c>
      <x:c r="P79" s="26" t="n">
        <x:v>37.5</x:v>
      </x:c>
      <x:c r="Q79" s="26" t="n">
        <x:v>0.785596129485803</x:v>
      </x:c>
      <x:c r="R79" s="26" t="n">
        <x:v>-0.7063971931822323</x:v>
      </x:c>
      <x:c r="S79" s="26" t="n">
        <x:v>0.785596129485803</x:v>
      </x:c>
      <x:c r="T79" s="26" t="n">
        <x:v>-0.7063971931822323</x:v>
      </x:c>
      <x:c r="U79" s="26" t="n">
        <x:v>2.828385532856007</x:v>
      </x:c>
      <x:c r="V79" s="26" t="n">
        <x:v>-0.8283855328560068</x:v>
      </x:c>
    </x:row>
    <x:row r="80">
      <x:c r="A80" s="26" t="n">
        <x:v>38</x:v>
      </x:c>
      <x:c r="B80" s="26" t="n">
        <x:f>(A80/$N$3)^2</x:f>
        <x:v>0.8066850211395554</x:v>
      </x:c>
      <x:c r="C80" s="26" t="n">
        <x:f>0-(A80/$N$4)^2</x:f>
        <x:v>-0.7253600333903242</x:v>
      </x:c>
      <x:c r="D80" s="26" t="n">
        <x:f>MIN(B80,$N$5)</x:f>
        <x:v>0.8066850211395554</x:v>
      </x:c>
      <x:c r="E80" s="26" t="n">
        <x:f>IF(A80&lt;=$N$7,MAX(C80,$N$6),MAX(C80,$N$6*($N$8-A80)/($N$8-$N$7)))</x:f>
        <x:v>-0.7253600333903242</x:v>
      </x:c>
      <x:c r="F80" s="26" t="n">
        <x:f>IF(A80&lt;=$N$7,1+$N$9*A80/$N$7,$N$10+(A80-$N$7)*($N$12-$N$10)/($N$8-$N$7))</x:f>
        <x:v>2.85276400662742</x:v>
      </x:c>
      <x:c r="G80" s="26" t="n">
        <x:f>IF(A80&lt;=$N$7,1-$N$9*A80/$N$7,$N$11+(A80-$N$7)*($N$13-$N$11)/($N$8-$N$7))</x:f>
        <x:v>-0.8527640066274202</x:v>
      </x:c>
      <x:c r="H80" s="26" t="n">
        <x:f>MIN(F80,B80)</x:f>
        <x:v>0.8066850211395554</x:v>
      </x:c>
      <x:c r="I80" s="26" t="n">
        <x:f>MAX(G80,C80)</x:f>
        <x:v>-0.7253600333903242</x:v>
      </x:c>
      <x:c r="J80" s="26" t="n">
        <x:f>MAX(D80,H80)</x:f>
        <x:v>0.8066850211395554</x:v>
      </x:c>
      <x:c r="K80" s="26" t="n">
        <x:f>MIN(E80,I80)</x:f>
        <x:v>-0.7253600333903242</x:v>
      </x:c>
      <x:c r="P80" s="26" t="n">
        <x:v>38</x:v>
      </x:c>
      <x:c r="Q80" s="26" t="n">
        <x:v>0.8066850211395554</x:v>
      </x:c>
      <x:c r="R80" s="26" t="n">
        <x:v>-0.7253600333903242</x:v>
      </x:c>
      <x:c r="S80" s="26" t="n">
        <x:v>0.8066850211395554</x:v>
      </x:c>
      <x:c r="T80" s="26" t="n">
        <x:v>-0.7253600333903242</x:v>
      </x:c>
      <x:c r="U80" s="26" t="n">
        <x:v>2.85276400662742</x:v>
      </x:c>
      <x:c r="V80" s="26" t="n">
        <x:v>-0.8527640066274202</x:v>
      </x:c>
    </x:row>
    <x:row r="81">
      <x:c r="A81" s="26" t="n">
        <x:v>38.5</x:v>
      </x:c>
      <x:c r="B81" s="26" t="n">
        <x:f>(A81/$N$3)^2</x:f>
        <x:v>0.8280532358615692</x:v>
      </x:c>
      <x:c r="C81" s="26" t="n">
        <x:f>0-(A81/$N$4)^2</x:f>
        <x:v>-0.7445740370448809</x:v>
      </x:c>
      <x:c r="D81" s="26" t="n">
        <x:f>MIN(B81,$N$5)</x:f>
        <x:v>0.8280532358615692</x:v>
      </x:c>
      <x:c r="E81" s="26" t="n">
        <x:f>IF(A81&lt;=$N$7,MAX(C81,$N$6),MAX(C81,$N$6*($N$8-A81)/($N$8-$N$7)))</x:f>
        <x:v>-0.7445740370448809</x:v>
      </x:c>
      <x:c r="F81" s="26" t="n">
        <x:f>IF(A81&lt;=$N$7,1+$N$9*A81/$N$7,$N$10+(A81-$N$7)*($N$12-$N$10)/($N$8-$N$7))</x:f>
        <x:v>2.8771424803988337</x:v>
      </x:c>
      <x:c r="G81" s="26" t="n">
        <x:f>IF(A81&lt;=$N$7,1-$N$9*A81/$N$7,$N$11+(A81-$N$7)*($N$13-$N$11)/($N$8-$N$7))</x:f>
        <x:v>-0.8771424803988337</x:v>
      </x:c>
      <x:c r="H81" s="26" t="n">
        <x:f>MIN(F81,B81)</x:f>
        <x:v>0.8280532358615692</x:v>
      </x:c>
      <x:c r="I81" s="26" t="n">
        <x:f>MAX(G81,C81)</x:f>
        <x:v>-0.7445740370448809</x:v>
      </x:c>
      <x:c r="J81" s="26" t="n">
        <x:f>MAX(D81,H81)</x:f>
        <x:v>0.8280532358615692</x:v>
      </x:c>
      <x:c r="K81" s="26" t="n">
        <x:f>MIN(E81,I81)</x:f>
        <x:v>-0.7445740370448809</x:v>
      </x:c>
      <x:c r="P81" s="26" t="n">
        <x:v>38.5</x:v>
      </x:c>
      <x:c r="Q81" s="26" t="n">
        <x:v>0.8280532358615692</x:v>
      </x:c>
      <x:c r="R81" s="26" t="n">
        <x:v>-0.7445740370448809</x:v>
      </x:c>
      <x:c r="S81" s="26" t="n">
        <x:v>0.8280532358615692</x:v>
      </x:c>
      <x:c r="T81" s="26" t="n">
        <x:v>-0.7445740370448809</x:v>
      </x:c>
      <x:c r="U81" s="26" t="n">
        <x:v>2.8771424803988337</x:v>
      </x:c>
      <x:c r="V81" s="26" t="n">
        <x:v>-0.8771424803988337</x:v>
      </x:c>
    </x:row>
    <x:row r="82">
      <x:c r="A82" s="26" t="n">
        <x:v>39</x:v>
      </x:c>
      <x:c r="B82" s="26" t="n">
        <x:f>(A82/$N$3)^2</x:f>
        <x:v>0.8497007736518446</x:v>
      </x:c>
      <x:c r="C82" s="26" t="n">
        <x:f>0-(A82/$N$4)^2</x:f>
        <x:v>-0.7640392041459024</x:v>
      </x:c>
      <x:c r="D82" s="26" t="n">
        <x:f>MIN(B82,$N$5)</x:f>
        <x:v>0.8497007736518446</x:v>
      </x:c>
      <x:c r="E82" s="26" t="n">
        <x:f>IF(A82&lt;=$N$7,MAX(C82,$N$6),MAX(C82,$N$6*($N$8-A82)/($N$8-$N$7)))</x:f>
        <x:v>-0.7640392041459024</x:v>
      </x:c>
      <x:c r="F82" s="26" t="n">
        <x:f>IF(A82&lt;=$N$7,1+$N$9*A82/$N$7,$N$10+(A82-$N$7)*($N$12-$N$10)/($N$8-$N$7))</x:f>
        <x:v>2.901520954170247</x:v>
      </x:c>
      <x:c r="G82" s="26" t="n">
        <x:f>IF(A82&lt;=$N$7,1-$N$9*A82/$N$7,$N$11+(A82-$N$7)*($N$13-$N$11)/($N$8-$N$7))</x:f>
        <x:v>-0.9015209541702469</x:v>
      </x:c>
      <x:c r="H82" s="26" t="n">
        <x:f>MIN(F82,B82)</x:f>
        <x:v>0.8497007736518446</x:v>
      </x:c>
      <x:c r="I82" s="26" t="n">
        <x:f>MAX(G82,C82)</x:f>
        <x:v>-0.7640392041459024</x:v>
      </x:c>
      <x:c r="J82" s="26" t="n">
        <x:f>MAX(D82,H82)</x:f>
        <x:v>0.8497007736518446</x:v>
      </x:c>
      <x:c r="K82" s="26" t="n">
        <x:f>MIN(E82,I82)</x:f>
        <x:v>-0.7640392041459024</x:v>
      </x:c>
      <x:c r="P82" s="26" t="n">
        <x:v>39</x:v>
      </x:c>
      <x:c r="Q82" s="26" t="n">
        <x:v>0.8497007736518446</x:v>
      </x:c>
      <x:c r="R82" s="26" t="n">
        <x:v>-0.7640392041459024</x:v>
      </x:c>
      <x:c r="S82" s="26" t="n">
        <x:v>0.8497007736518446</x:v>
      </x:c>
      <x:c r="T82" s="26" t="n">
        <x:v>-0.7640392041459024</x:v>
      </x:c>
      <x:c r="U82" s="26" t="n">
        <x:v>2.9015209541702474</x:v>
      </x:c>
      <x:c r="V82" s="26" t="n">
        <x:v>-0.9015209541702471</x:v>
      </x:c>
    </x:row>
    <x:row r="83">
      <x:c r="A83" s="26" t="n">
        <x:v>39.5</x:v>
      </x:c>
      <x:c r="B83" s="26" t="n">
        <x:f>(A83/$N$3)^2</x:f>
        <x:v>0.8716276345103816</x:v>
      </x:c>
      <x:c r="C83" s="26" t="n">
        <x:f>0-(A83/$N$4)^2</x:f>
        <x:v>-0.7837555346933888</x:v>
      </x:c>
      <x:c r="D83" s="26" t="n">
        <x:f>MIN(B83,$N$5)</x:f>
        <x:v>0.8716276345103816</x:v>
      </x:c>
      <x:c r="E83" s="26" t="n">
        <x:f>IF(A83&lt;=$N$7,MAX(C83,$N$6),MAX(C83,$N$6*($N$8-A83)/($N$8-$N$7)))</x:f>
        <x:v>-0.7837555346933888</x:v>
      </x:c>
      <x:c r="F83" s="26" t="n">
        <x:f>IF(A83&lt;=$N$7,1+$N$9*A83/$N$7,$N$10+(A83-$N$7)*($N$12-$N$10)/($N$8-$N$7))</x:f>
        <x:v>2.92589942794166</x:v>
      </x:c>
      <x:c r="G83" s="26" t="n">
        <x:f>IF(A83&lt;=$N$7,1-$N$9*A83/$N$7,$N$11+(A83-$N$7)*($N$13-$N$11)/($N$8-$N$7))</x:f>
        <x:v>-0.9258994279416604</x:v>
      </x:c>
      <x:c r="H83" s="26" t="n">
        <x:f>MIN(F83,B83)</x:f>
        <x:v>0.8716276345103816</x:v>
      </x:c>
      <x:c r="I83" s="26" t="n">
        <x:f>MAX(G83,C83)</x:f>
        <x:v>-0.7837555346933888</x:v>
      </x:c>
      <x:c r="J83" s="26" t="n">
        <x:f>MAX(D83,H83)</x:f>
        <x:v>0.8716276345103816</x:v>
      </x:c>
      <x:c r="K83" s="26" t="n">
        <x:f>MIN(E83,I83)</x:f>
        <x:v>-0.7837555346933888</x:v>
      </x:c>
      <x:c r="P83" s="26" t="n">
        <x:v>39.5</x:v>
      </x:c>
      <x:c r="Q83" s="26" t="n">
        <x:v>0.8716276345103816</x:v>
      </x:c>
      <x:c r="R83" s="26" t="n">
        <x:v>-0.7837555346933888</x:v>
      </x:c>
      <x:c r="S83" s="26" t="n">
        <x:v>0.8716276345103816</x:v>
      </x:c>
      <x:c r="T83" s="26" t="n">
        <x:v>-0.7837555346933888</x:v>
      </x:c>
      <x:c r="U83" s="26" t="n">
        <x:v>2.9258994279416606</x:v>
      </x:c>
      <x:c r="V83" s="26" t="n">
        <x:v>-0.9258994279416606</x:v>
      </x:c>
    </x:row>
    <x:row r="84">
      <x:c r="A84" s="26" t="n">
        <x:v>40</x:v>
      </x:c>
      <x:c r="B84" s="26" t="n">
        <x:f>(A84/$N$3)^2</x:f>
        <x:v>0.8938338184371803</x:v>
      </x:c>
      <x:c r="C84" s="26" t="n">
        <x:f>0-(A84/$N$4)^2</x:f>
        <x:v>-0.8037230286873399</x:v>
      </x:c>
      <x:c r="D84" s="26" t="n">
        <x:f>MIN(B84,$N$5)</x:f>
        <x:v>0.8938338184371803</x:v>
      </x:c>
      <x:c r="E84" s="26" t="n">
        <x:f>IF(A84&lt;=$N$7,MAX(C84,$N$6),MAX(C84,$N$6*($N$8-A84)/($N$8-$N$7)))</x:f>
        <x:v>-0.8037230286873399</x:v>
      </x:c>
      <x:c r="F84" s="26" t="n">
        <x:f>IF(A84&lt;=$N$7,1+$N$9*A84/$N$7,$N$10+(A84-$N$7)*($N$12-$N$10)/($N$8-$N$7))</x:f>
        <x:v>2.950277901713074</x:v>
      </x:c>
      <x:c r="G84" s="26" t="n">
        <x:f>IF(A84&lt;=$N$7,1-$N$9*A84/$N$7,$N$11+(A84-$N$7)*($N$13-$N$11)/($N$8-$N$7))</x:f>
        <x:v>-0.9502779017130738</x:v>
      </x:c>
      <x:c r="H84" s="26" t="n">
        <x:f>MIN(F84,B84)</x:f>
        <x:v>0.8938338184371803</x:v>
      </x:c>
      <x:c r="I84" s="26" t="n">
        <x:f>MAX(G84,C84)</x:f>
        <x:v>-0.8037230286873399</x:v>
      </x:c>
      <x:c r="J84" s="26" t="n">
        <x:f>MAX(D84,H84)</x:f>
        <x:v>0.8938338184371803</x:v>
      </x:c>
      <x:c r="K84" s="26" t="n">
        <x:f>MIN(E84,I84)</x:f>
        <x:v>-0.8037230286873399</x:v>
      </x:c>
      <x:c r="P84" s="26" t="n">
        <x:v>40</x:v>
      </x:c>
      <x:c r="Q84" s="26" t="n">
        <x:v>0.8938338184371803</x:v>
      </x:c>
      <x:c r="R84" s="26" t="n">
        <x:v>-0.8037230286873399</x:v>
      </x:c>
      <x:c r="S84" s="26" t="n">
        <x:v>0.8938338184371803</x:v>
      </x:c>
      <x:c r="T84" s="26" t="n">
        <x:v>-0.8037230286873399</x:v>
      </x:c>
      <x:c r="U84" s="26" t="n">
        <x:v>2.950277901713074</x:v>
      </x:c>
      <x:c r="V84" s="26" t="n">
        <x:v>-0.9502779017130738</x:v>
      </x:c>
    </x:row>
    <x:row r="85">
      <x:c r="A85" s="26" t="n">
        <x:v>40.5</x:v>
      </x:c>
      <x:c r="B85" s="26" t="n">
        <x:f>(A85/$N$3)^2</x:f>
        <x:v>0.9163193254322408</x:v>
      </x:c>
      <x:c r="C85" s="26" t="n">
        <x:f>0-(A85/$N$4)^2</x:f>
        <x:v>-0.8239416861277558</x:v>
      </x:c>
      <x:c r="D85" s="26" t="n">
        <x:f>MIN(B85,$N$5)</x:f>
        <x:v>0.9163193254322408</x:v>
      </x:c>
      <x:c r="E85" s="26" t="n">
        <x:f>IF(A85&lt;=$N$7,MAX(C85,$N$6),MAX(C85,$N$6*($N$8-A85)/($N$8-$N$7)))</x:f>
        <x:v>-0.8239416861277558</x:v>
      </x:c>
      <x:c r="F85" s="26" t="n">
        <x:f>IF(A85&lt;=$N$7,1+$N$9*A85/$N$7,$N$10+(A85-$N$7)*($N$12-$N$10)/($N$8-$N$7))</x:f>
        <x:v>2.9746563754844875</x:v>
      </x:c>
      <x:c r="G85" s="26" t="n">
        <x:f>IF(A85&lt;=$N$7,1-$N$9*A85/$N$7,$N$11+(A85-$N$7)*($N$13-$N$11)/($N$8-$N$7))</x:f>
        <x:v>-0.9746563754844875</x:v>
      </x:c>
      <x:c r="H85" s="26" t="n">
        <x:f>MIN(F85,B85)</x:f>
        <x:v>0.9163193254322408</x:v>
      </x:c>
      <x:c r="I85" s="26" t="n">
        <x:f>MAX(G85,C85)</x:f>
        <x:v>-0.8239416861277558</x:v>
      </x:c>
      <x:c r="J85" s="26" t="n">
        <x:f>MAX(D85,H85)</x:f>
        <x:v>0.9163193254322408</x:v>
      </x:c>
      <x:c r="K85" s="26" t="n">
        <x:f>MIN(E85,I85)</x:f>
        <x:v>-0.8239416861277558</x:v>
      </x:c>
      <x:c r="P85" s="26" t="n">
        <x:v>40.5</x:v>
      </x:c>
      <x:c r="Q85" s="26" t="n">
        <x:v>0.9163193254322408</x:v>
      </x:c>
      <x:c r="R85" s="26" t="n">
        <x:v>-0.8239416861277558</x:v>
      </x:c>
      <x:c r="S85" s="26" t="n">
        <x:v>0.9163193254322408</x:v>
      </x:c>
      <x:c r="T85" s="26" t="n">
        <x:v>-0.8239416861277558</x:v>
      </x:c>
      <x:c r="U85" s="26" t="n">
        <x:v>2.9746563754844875</x:v>
      </x:c>
      <x:c r="V85" s="26" t="n">
        <x:v>-0.9746563754844872</x:v>
      </x:c>
    </x:row>
    <x:row r="86">
      <x:c r="A86" s="26" t="n">
        <x:v>41</x:v>
      </x:c>
      <x:c r="B86" s="26" t="n">
        <x:f>(A86/$N$3)^2</x:f>
        <x:v>0.9390841554955627</x:v>
      </x:c>
      <x:c r="C86" s="26" t="n">
        <x:f>0-(A86/$N$4)^2</x:f>
        <x:v>-0.8444115070146363</x:v>
      </x:c>
      <x:c r="D86" s="26" t="n">
        <x:f>MIN(B86,$N$5)</x:f>
        <x:v>0.9390841554955627</x:v>
      </x:c>
      <x:c r="E86" s="26" t="n">
        <x:f>IF(A86&lt;=$N$7,MAX(C86,$N$6),MAX(C86,$N$6*($N$8-A86)/($N$8-$N$7)))</x:f>
        <x:v>-0.8444115070146363</x:v>
      </x:c>
      <x:c r="F86" s="26" t="n">
        <x:f>IF(A86&lt;=$N$7,1+$N$9*A86/$N$7,$N$10+(A86-$N$7)*($N$12-$N$10)/($N$8-$N$7))</x:f>
        <x:v>2.999034849255901</x:v>
      </x:c>
      <x:c r="G86" s="26" t="n">
        <x:f>IF(A86&lt;=$N$7,1-$N$9*A86/$N$7,$N$11+(A86-$N$7)*($N$13-$N$11)/($N$8-$N$7))</x:f>
        <x:v>-0.9990348492559009</x:v>
      </x:c>
      <x:c r="H86" s="26" t="n">
        <x:f>MIN(F86,B86)</x:f>
        <x:v>0.9390841554955627</x:v>
      </x:c>
      <x:c r="I86" s="26" t="n">
        <x:f>MAX(G86,C86)</x:f>
        <x:v>-0.8444115070146363</x:v>
      </x:c>
      <x:c r="J86" s="26" t="n">
        <x:f>MAX(D86,H86)</x:f>
        <x:v>0.9390841554955627</x:v>
      </x:c>
      <x:c r="K86" s="26" t="n">
        <x:f>MIN(E86,I86)</x:f>
        <x:v>-0.8444115070146363</x:v>
      </x:c>
      <x:c r="P86" s="26" t="n">
        <x:v>41</x:v>
      </x:c>
      <x:c r="Q86" s="26" t="n">
        <x:v>0.9390841554955627</x:v>
      </x:c>
      <x:c r="R86" s="26" t="n">
        <x:v>-0.8444115070146363</x:v>
      </x:c>
      <x:c r="S86" s="26" t="n">
        <x:v>0.9390841554955627</x:v>
      </x:c>
      <x:c r="T86" s="26" t="n">
        <x:v>-0.8444115070146363</x:v>
      </x:c>
      <x:c r="U86" s="26" t="n">
        <x:v>2.9990348492559007</x:v>
      </x:c>
      <x:c r="V86" s="26" t="n">
        <x:v>-0.9990348492559007</x:v>
      </x:c>
    </x:row>
    <x:row r="87">
      <x:c r="A87" s="26" t="n">
        <x:v>41.5</x:v>
      </x:c>
      <x:c r="B87" s="26" t="n">
        <x:f>(A87/$N$3)^2</x:f>
        <x:v>0.9621283086271462</x:v>
      </x:c>
      <x:c r="C87" s="26" t="n">
        <x:f>0-(A87/$N$4)^2</x:f>
        <x:v>-0.8651324913479818</x:v>
      </x:c>
      <x:c r="D87" s="26" t="n">
        <x:f>MIN(B87,$N$5)</x:f>
        <x:v>0.9621283086271462</x:v>
      </x:c>
      <x:c r="E87" s="26" t="n">
        <x:f>IF(A87&lt;=$N$7,MAX(C87,$N$6),MAX(C87,$N$6*($N$8-A87)/($N$8-$N$7)))</x:f>
        <x:v>-0.8651324913479818</x:v>
      </x:c>
      <x:c r="F87" s="26" t="n">
        <x:f>IF(A87&lt;=$N$7,1+$N$9*A87/$N$7,$N$10+(A87-$N$7)*($N$12-$N$10)/($N$8-$N$7))</x:f>
        <x:v>3.023413323027314</x:v>
      </x:c>
      <x:c r="G87" s="26" t="n">
        <x:f>IF(A87&lt;=$N$7,1-$N$9*A87/$N$7,$N$11+(A87-$N$7)*($N$13-$N$11)/($N$8-$N$7))</x:f>
        <x:v>-1.023413323027314</x:v>
      </x:c>
      <x:c r="H87" s="26" t="n">
        <x:f>MIN(F87,B87)</x:f>
        <x:v>0.9621283086271462</x:v>
      </x:c>
      <x:c r="I87" s="26" t="n">
        <x:f>MAX(G87,C87)</x:f>
        <x:v>-0.8651324913479818</x:v>
      </x:c>
      <x:c r="J87" s="26" t="n">
        <x:f>MAX(D87,H87)</x:f>
        <x:v>0.9621283086271462</x:v>
      </x:c>
      <x:c r="K87" s="26" t="n">
        <x:f>MIN(E87,I87)</x:f>
        <x:v>-0.8651324913479818</x:v>
      </x:c>
      <x:c r="P87" s="26" t="n">
        <x:v>41.5</x:v>
      </x:c>
      <x:c r="Q87" s="26" t="n">
        <x:v>0.9621283086271462</x:v>
      </x:c>
      <x:c r="R87" s="26" t="n">
        <x:v>-0.8651324913479818</x:v>
      </x:c>
      <x:c r="S87" s="26" t="n">
        <x:v>0.9621283086271462</x:v>
      </x:c>
      <x:c r="T87" s="26" t="n">
        <x:v>-0.8651324913479818</x:v>
      </x:c>
      <x:c r="U87" s="26" t="n">
        <x:v>3.0234133230273144</x:v>
      </x:c>
      <x:c r="V87" s="26" t="n">
        <x:v>-1.0234133230273144</x:v>
      </x:c>
    </x:row>
    <x:row r="88">
      <x:c r="A88" s="26" t="n">
        <x:v>42</x:v>
      </x:c>
      <x:c r="B88" s="26" t="n">
        <x:f>(A88/$N$3)^2</x:f>
        <x:v>0.9854517848269914</x:v>
      </x:c>
      <x:c r="C88" s="26" t="n">
        <x:f>0-(A88/$N$4)^2</x:f>
        <x:v>-0.8861046391277921</x:v>
      </x:c>
      <x:c r="D88" s="26" t="n">
        <x:f>MIN(B88,$N$5)</x:f>
        <x:v>0.9854517848269914</x:v>
      </x:c>
      <x:c r="E88" s="26" t="n">
        <x:f>IF(A88&lt;=$N$7,MAX(C88,$N$6),MAX(C88,$N$6*($N$8-A88)/($N$8-$N$7)))</x:f>
        <x:v>-0.8861046391277921</x:v>
      </x:c>
      <x:c r="F88" s="26" t="n">
        <x:f>IF(A88&lt;=$N$7,1+$N$9*A88/$N$7,$N$10+(A88-$N$7)*($N$12-$N$10)/($N$8-$N$7))</x:f>
        <x:v>3.0477917967987276</x:v>
      </x:c>
      <x:c r="G88" s="26" t="n">
        <x:f>IF(A88&lt;=$N$7,1-$N$9*A88/$N$7,$N$11+(A88-$N$7)*($N$13-$N$11)/($N$8-$N$7))</x:f>
        <x:v>-1.0477917967987276</x:v>
      </x:c>
      <x:c r="H88" s="26" t="n">
        <x:f>MIN(F88,B88)</x:f>
        <x:v>0.9854517848269914</x:v>
      </x:c>
      <x:c r="I88" s="26" t="n">
        <x:f>MAX(G88,C88)</x:f>
        <x:v>-0.8861046391277921</x:v>
      </x:c>
      <x:c r="J88" s="26" t="n">
        <x:f>MAX(D88,H88)</x:f>
        <x:v>0.9854517848269914</x:v>
      </x:c>
      <x:c r="K88" s="26" t="n">
        <x:f>MIN(E88,I88)</x:f>
        <x:v>-0.8861046391277921</x:v>
      </x:c>
      <x:c r="P88" s="26" t="n">
        <x:v>42</x:v>
      </x:c>
      <x:c r="Q88" s="26" t="n">
        <x:v>0.9854517848269914</x:v>
      </x:c>
      <x:c r="R88" s="26" t="n">
        <x:v>-0.8861046391277921</x:v>
      </x:c>
      <x:c r="S88" s="26" t="n">
        <x:v>0.9854517848269914</x:v>
      </x:c>
      <x:c r="T88" s="26" t="n">
        <x:v>-0.8861046391277921</x:v>
      </x:c>
      <x:c r="U88" s="26" t="n">
        <x:v>3.0477917967987276</x:v>
      </x:c>
      <x:c r="V88" s="26" t="n">
        <x:v>-1.0477917967987276</x:v>
      </x:c>
    </x:row>
    <x:row r="89">
      <x:c r="A89" s="26" t="n">
        <x:v>42.5</x:v>
      </x:c>
      <x:c r="B89" s="26" t="n">
        <x:f>(A89/$N$3)^2</x:f>
        <x:v>1.0090545840950984</x:v>
      </x:c>
      <x:c r="C89" s="26" t="n">
        <x:f>0-(A89/$N$4)^2</x:f>
        <x:v>-0.9073279503540672</x:v>
      </x:c>
      <x:c r="D89" s="26" t="n">
        <x:f>MIN(B89,$N$5)</x:f>
        <x:v>1.0090545840950984</x:v>
      </x:c>
      <x:c r="E89" s="26" t="n">
        <x:f>IF(A89&lt;=$N$7,MAX(C89,$N$6),MAX(C89,$N$6*($N$8-A89)/($N$8-$N$7)))</x:f>
        <x:v>-0.9073279503540672</x:v>
      </x:c>
      <x:c r="F89" s="26" t="n">
        <x:f>IF(A89&lt;=$N$7,1+$N$9*A89/$N$7,$N$10+(A89-$N$7)*($N$12-$N$10)/($N$8-$N$7))</x:f>
        <x:v>3.072170270570141</x:v>
      </x:c>
      <x:c r="G89" s="26" t="n">
        <x:f>IF(A89&lt;=$N$7,1-$N$9*A89/$N$7,$N$11+(A89-$N$7)*($N$13-$N$11)/($N$8-$N$7))</x:f>
        <x:v>-1.0721702705701408</x:v>
      </x:c>
      <x:c r="H89" s="26" t="n">
        <x:f>MIN(F89,B89)</x:f>
        <x:v>1.0090545840950984</x:v>
      </x:c>
      <x:c r="I89" s="26" t="n">
        <x:f>MAX(G89,C89)</x:f>
        <x:v>-0.9073279503540672</x:v>
      </x:c>
      <x:c r="J89" s="26" t="n">
        <x:f>MAX(D89,H89)</x:f>
        <x:v>1.0090545840950984</x:v>
      </x:c>
      <x:c r="K89" s="26" t="n">
        <x:f>MIN(E89,I89)</x:f>
        <x:v>-0.9073279503540672</x:v>
      </x:c>
      <x:c r="P89" s="26" t="n">
        <x:v>42.5</x:v>
      </x:c>
      <x:c r="Q89" s="26" t="n">
        <x:v>1.0090545840950984</x:v>
      </x:c>
      <x:c r="R89" s="26" t="n">
        <x:v>-0.9073279503540672</x:v>
      </x:c>
      <x:c r="S89" s="26" t="n">
        <x:v>1.0090545840950984</x:v>
      </x:c>
      <x:c r="T89" s="26" t="n">
        <x:v>-0.9073279503540672</x:v>
      </x:c>
      <x:c r="U89" s="26" t="n">
        <x:v>3.0721702705701412</x:v>
      </x:c>
      <x:c r="V89" s="26" t="n">
        <x:v>-1.0721702705701412</x:v>
      </x:c>
    </x:row>
    <x:row r="90">
      <x:c r="A90" s="26" t="n">
        <x:v>43</x:v>
      </x:c>
      <x:c r="B90" s="26" t="n">
        <x:f>(A90/$N$3)^2</x:f>
        <x:v>1.0329367064314665</x:v>
      </x:c>
      <x:c r="C90" s="26" t="n">
        <x:f>0-(A90/$N$4)^2</x:f>
        <x:v>-0.9288024250268071</x:v>
      </x:c>
      <x:c r="D90" s="26" t="n">
        <x:f>MIN(B90,$N$5)</x:f>
        <x:v>1.0329367064314665</x:v>
      </x:c>
      <x:c r="E90" s="26" t="n">
        <x:f>IF(A90&lt;=$N$7,MAX(C90,$N$6),MAX(C90,$N$6*($N$8-A90)/($N$8-$N$7)))</x:f>
        <x:v>-0.9288024250268071</x:v>
      </x:c>
      <x:c r="F90" s="26" t="n">
        <x:f>IF(A90&lt;=$N$7,1+$N$9*A90/$N$7,$N$10+(A90-$N$7)*($N$12-$N$10)/($N$8-$N$7))</x:f>
        <x:v>3.0965487443415545</x:v>
      </x:c>
      <x:c r="G90" s="26" t="n">
        <x:f>IF(A90&lt;=$N$7,1-$N$9*A90/$N$7,$N$11+(A90-$N$7)*($N$13-$N$11)/($N$8-$N$7))</x:f>
        <x:v>-1.0965487443415545</x:v>
      </x:c>
      <x:c r="H90" s="26" t="n">
        <x:f>MIN(F90,B90)</x:f>
        <x:v>1.0329367064314665</x:v>
      </x:c>
      <x:c r="I90" s="26" t="n">
        <x:f>MAX(G90,C90)</x:f>
        <x:v>-0.9288024250268071</x:v>
      </x:c>
      <x:c r="J90" s="26" t="n">
        <x:f>MAX(D90,H90)</x:f>
        <x:v>1.0329367064314665</x:v>
      </x:c>
      <x:c r="K90" s="26" t="n">
        <x:f>MIN(E90,I90)</x:f>
        <x:v>-0.9288024250268071</x:v>
      </x:c>
      <x:c r="P90" s="26" t="n">
        <x:v>43</x:v>
      </x:c>
      <x:c r="Q90" s="26" t="n">
        <x:v>1.0329367064314665</x:v>
      </x:c>
      <x:c r="R90" s="26" t="n">
        <x:v>-0.9288024250268071</x:v>
      </x:c>
      <x:c r="S90" s="26" t="n">
        <x:v>1.0329367064314665</x:v>
      </x:c>
      <x:c r="T90" s="26" t="n">
        <x:v>-0.9288024250268071</x:v>
      </x:c>
      <x:c r="U90" s="26" t="n">
        <x:v>3.0965487443415545</x:v>
      </x:c>
      <x:c r="V90" s="26" t="n">
        <x:v>-1.0965487443415545</x:v>
      </x:c>
    </x:row>
    <x:row r="91">
      <x:c r="A91" s="26" t="n">
        <x:v>43.5</x:v>
      </x:c>
      <x:c r="B91" s="26" t="n">
        <x:f>(A91/$N$3)^2</x:f>
        <x:v>1.0570981518360967</x:v>
      </x:c>
      <x:c r="C91" s="26" t="n">
        <x:f>0-(A91/$N$4)^2</x:f>
        <x:v>-0.9505280631460117</x:v>
      </x:c>
      <x:c r="D91" s="26" t="n">
        <x:f>MIN(B91,$N$5)</x:f>
        <x:v>1.0570981518360967</x:v>
      </x:c>
      <x:c r="E91" s="26" t="n">
        <x:f>IF(A91&lt;=$N$7,MAX(C91,$N$6),MAX(C91,$N$6*($N$8-A91)/($N$8-$N$7)))</x:f>
        <x:v>-0.9505280631460117</x:v>
      </x:c>
      <x:c r="F91" s="26" t="n">
        <x:f>IF(A91&lt;=$N$7,1+$N$9*A91/$N$7,$N$10+(A91-$N$7)*($N$12-$N$10)/($N$8-$N$7))</x:f>
        <x:v>3.120927218112968</x:v>
      </x:c>
      <x:c r="G91" s="26" t="n">
        <x:f>IF(A91&lt;=$N$7,1-$N$9*A91/$N$7,$N$11+(A91-$N$7)*($N$13-$N$11)/($N$8-$N$7))</x:f>
        <x:v>-1.1209272181129681</x:v>
      </x:c>
      <x:c r="H91" s="26" t="n">
        <x:f>MIN(F91,B91)</x:f>
        <x:v>1.0570981518360967</x:v>
      </x:c>
      <x:c r="I91" s="26" t="n">
        <x:f>MAX(G91,C91)</x:f>
        <x:v>-0.9505280631460117</x:v>
      </x:c>
      <x:c r="J91" s="26" t="n">
        <x:f>MAX(D91,H91)</x:f>
        <x:v>1.0570981518360967</x:v>
      </x:c>
      <x:c r="K91" s="26" t="n">
        <x:f>MIN(E91,I91)</x:f>
        <x:v>-0.9505280631460117</x:v>
      </x:c>
      <x:c r="P91" s="26" t="n">
        <x:v>43.5</x:v>
      </x:c>
      <x:c r="Q91" s="26" t="n">
        <x:v>1.0570981518360967</x:v>
      </x:c>
      <x:c r="R91" s="26" t="n">
        <x:v>-0.9505280631460117</x:v>
      </x:c>
      <x:c r="S91" s="26" t="n">
        <x:v>1.0570981518360967</x:v>
      </x:c>
      <x:c r="T91" s="26" t="n">
        <x:v>-0.9505280631460117</x:v>
      </x:c>
      <x:c r="U91" s="26" t="n">
        <x:v>3.1209272181129677</x:v>
      </x:c>
      <x:c r="V91" s="26" t="n">
        <x:v>-1.1209272181129677</x:v>
      </x:c>
    </x:row>
    <x:row r="92">
      <x:c r="A92" s="26" t="n">
        <x:v>44</x:v>
      </x:c>
      <x:c r="B92" s="26" t="n">
        <x:f>(A92/$N$3)^2</x:f>
        <x:v>1.0815389203089885</x:v>
      </x:c>
      <x:c r="C92" s="26" t="n">
        <x:f>0-(A92/$N$4)^2</x:f>
        <x:v>-0.9725048647116812</x:v>
      </x:c>
      <x:c r="D92" s="26" t="n">
        <x:f>MIN(B92,$N$5)</x:f>
        <x:v>1.0815389203089885</x:v>
      </x:c>
      <x:c r="E92" s="26" t="n">
        <x:f>IF(A92&lt;=$N$7,MAX(C92,$N$6),MAX(C92,$N$6*($N$8-A92)/($N$8-$N$7)))</x:f>
        <x:v>-0.9725048647116812</x:v>
      </x:c>
      <x:c r="F92" s="26" t="n">
        <x:f>IF(A92&lt;=$N$7,1+$N$9*A92/$N$7,$N$10+(A92-$N$7)*($N$12-$N$10)/($N$8-$N$7))</x:f>
        <x:v>3.1453056918843814</x:v>
      </x:c>
      <x:c r="G92" s="26" t="n">
        <x:f>IF(A92&lt;=$N$7,1-$N$9*A92/$N$7,$N$11+(A92-$N$7)*($N$13-$N$11)/($N$8-$N$7))</x:f>
        <x:v>-1.1453056918843814</x:v>
      </x:c>
      <x:c r="H92" s="26" t="n">
        <x:f>MIN(F92,B92)</x:f>
        <x:v>1.0815389203089885</x:v>
      </x:c>
      <x:c r="I92" s="26" t="n">
        <x:f>MAX(G92,C92)</x:f>
        <x:v>-0.9725048647116812</x:v>
      </x:c>
      <x:c r="J92" s="26" t="n">
        <x:f>MAX(D92,H92)</x:f>
        <x:v>1.0815389203089885</x:v>
      </x:c>
      <x:c r="K92" s="26" t="n">
        <x:f>MIN(E92,I92)</x:f>
        <x:v>-0.9725048647116812</x:v>
      </x:c>
      <x:c r="P92" s="26" t="n">
        <x:v>44</x:v>
      </x:c>
      <x:c r="Q92" s="26" t="n">
        <x:v>1.0815389203089885</x:v>
      </x:c>
      <x:c r="R92" s="26" t="n">
        <x:v>-0.9725048647116812</x:v>
      </x:c>
      <x:c r="S92" s="26" t="n">
        <x:v>1.0815389203089885</x:v>
      </x:c>
      <x:c r="T92" s="26" t="n">
        <x:v>-0.9725048647116812</x:v>
      </x:c>
      <x:c r="U92" s="26" t="n">
        <x:v>3.1453056918843814</x:v>
      </x:c>
      <x:c r="V92" s="26" t="n">
        <x:v>-1.1453056918843814</x:v>
      </x:c>
    </x:row>
    <x:row r="93">
      <x:c r="A93" s="26" t="n">
        <x:v>44.5</x:v>
      </x:c>
      <x:c r="B93" s="26" t="n">
        <x:f>(A93/$N$3)^2</x:f>
        <x:v>1.1062590118501414</x:v>
      </x:c>
      <x:c r="C93" s="26" t="n">
        <x:f>0-(A93/$N$4)^2</x:f>
        <x:v>-0.9947328297238155</x:v>
      </x:c>
      <x:c r="D93" s="26" t="n">
        <x:f>MIN(B93,$N$5)</x:f>
        <x:v>1.1062590118501414</x:v>
      </x:c>
      <x:c r="E93" s="26" t="n">
        <x:f>IF(A93&lt;=$N$7,MAX(C93,$N$6),MAX(C93,$N$6*($N$8-A93)/($N$8-$N$7)))</x:f>
        <x:v>-0.9947328297238155</x:v>
      </x:c>
      <x:c r="F93" s="26" t="n">
        <x:f>IF(A93&lt;=$N$7,1+$N$9*A93/$N$7,$N$10+(A93-$N$7)*($N$12-$N$10)/($N$8-$N$7))</x:f>
        <x:v>3.1696841656557946</x:v>
      </x:c>
      <x:c r="G93" s="26" t="n">
        <x:f>IF(A93&lt;=$N$7,1-$N$9*A93/$N$7,$N$11+(A93-$N$7)*($N$13-$N$11)/($N$8-$N$7))</x:f>
        <x:v>-1.1696841656557946</x:v>
      </x:c>
      <x:c r="H93" s="26" t="n">
        <x:f>MIN(F93,B93)</x:f>
        <x:v>1.1062590118501414</x:v>
      </x:c>
      <x:c r="I93" s="26" t="n">
        <x:f>MAX(G93,C93)</x:f>
        <x:v>-0.9947328297238155</x:v>
      </x:c>
      <x:c r="J93" s="26" t="n">
        <x:f>MAX(D93,H93)</x:f>
        <x:v>1.1062590118501414</x:v>
      </x:c>
      <x:c r="K93" s="26" t="n">
        <x:f>MIN(E93,I93)</x:f>
        <x:v>-0.9947328297238155</x:v>
      </x:c>
      <x:c r="P93" s="26" t="n">
        <x:v>44.5</x:v>
      </x:c>
      <x:c r="Q93" s="26" t="n">
        <x:v>1.1062590118501414</x:v>
      </x:c>
      <x:c r="R93" s="26" t="n">
        <x:v>-0.9947328297238155</x:v>
      </x:c>
      <x:c r="S93" s="26" t="n">
        <x:v>1.1062590118501414</x:v>
      </x:c>
      <x:c r="T93" s="26" t="n">
        <x:v>-0.9947328297238155</x:v>
      </x:c>
      <x:c r="U93" s="26" t="n">
        <x:v>3.1696841656557946</x:v>
      </x:c>
      <x:c r="V93" s="26" t="n">
        <x:v>-1.1696841656557946</x:v>
      </x:c>
    </x:row>
    <x:row r="94">
      <x:c r="A94" s="26" t="n">
        <x:v>45</x:v>
      </x:c>
      <x:c r="B94" s="26" t="n">
        <x:f>(A94/$N$3)^2</x:f>
        <x:v>1.1312584264595567</x:v>
      </x:c>
      <x:c r="C94" s="26" t="n">
        <x:f>0-(A94/$N$4)^2</x:f>
        <x:v>-1.0172119581824146</x:v>
      </x:c>
      <x:c r="D94" s="26" t="n">
        <x:f>MIN(B94,$N$5)</x:f>
        <x:v>1.1312584264595567</x:v>
      </x:c>
      <x:c r="E94" s="26" t="n">
        <x:f>IF(A94&lt;=$N$7,MAX(C94,$N$6),MAX(C94,$N$6*($N$8-A94)/($N$8-$N$7)))</x:f>
        <x:v>-1.0172119581824146</x:v>
      </x:c>
      <x:c r="F94" s="26" t="n">
        <x:f>IF(A94&lt;=$N$7,1+$N$9*A94/$N$7,$N$10+(A94-$N$7)*($N$12-$N$10)/($N$8-$N$7))</x:f>
        <x:v>3.1940626394272082</x:v>
      </x:c>
      <x:c r="G94" s="26" t="n">
        <x:f>IF(A94&lt;=$N$7,1-$N$9*A94/$N$7,$N$11+(A94-$N$7)*($N$13-$N$11)/($N$8-$N$7))</x:f>
        <x:v>-1.1940626394272082</x:v>
      </x:c>
      <x:c r="H94" s="26" t="n">
        <x:f>MIN(F94,B94)</x:f>
        <x:v>1.1312584264595567</x:v>
      </x:c>
      <x:c r="I94" s="26" t="n">
        <x:f>MAX(G94,C94)</x:f>
        <x:v>-1.0172119581824146</x:v>
      </x:c>
      <x:c r="J94" s="26" t="n">
        <x:f>MAX(D94,H94)</x:f>
        <x:v>1.1312584264595567</x:v>
      </x:c>
      <x:c r="K94" s="26" t="n">
        <x:f>MIN(E94,I94)</x:f>
        <x:v>-1.0172119581824146</x:v>
      </x:c>
      <x:c r="P94" s="26" t="n">
        <x:v>45</x:v>
      </x:c>
      <x:c r="Q94" s="26" t="n">
        <x:v>1.1312584264595567</x:v>
      </x:c>
      <x:c r="R94" s="26" t="n">
        <x:v>-1.0172119581824146</x:v>
      </x:c>
      <x:c r="S94" s="26" t="n">
        <x:v>1.1312584264595567</x:v>
      </x:c>
      <x:c r="T94" s="26" t="n">
        <x:v>-1.0172119581824146</x:v>
      </x:c>
      <x:c r="U94" s="26" t="n">
        <x:v>3.1940626394272082</x:v>
      </x:c>
      <x:c r="V94" s="26" t="n">
        <x:v>-1.1940626394272082</x:v>
      </x:c>
    </x:row>
    <x:row r="95">
      <x:c r="A95" s="26" t="n">
        <x:v>45.5</x:v>
      </x:c>
      <x:c r="B95" s="26" t="n">
        <x:f>(A95/$N$3)^2</x:f>
        <x:v>1.1565371641372328</x:v>
      </x:c>
      <x:c r="C95" s="26" t="n">
        <x:f>0-(A95/$N$4)^2</x:f>
        <x:v>-1.0399422500874782</x:v>
      </x:c>
      <x:c r="D95" s="26" t="n">
        <x:f>MIN(B95,$N$5)</x:f>
        <x:v>1.1565371641372328</x:v>
      </x:c>
      <x:c r="E95" s="26" t="n">
        <x:f>IF(A95&lt;=$N$7,MAX(C95,$N$6),MAX(C95,$N$6*($N$8-A95)/($N$8-$N$7)))</x:f>
        <x:v>-1.0399422500874782</x:v>
      </x:c>
      <x:c r="F95" s="26" t="n">
        <x:f>IF(A95&lt;=$N$7,1+$N$9*A95/$N$7,$N$10+(A95-$N$7)*($N$12-$N$10)/($N$8-$N$7))</x:f>
        <x:v>3.2184411131986215</x:v>
      </x:c>
      <x:c r="G95" s="26" t="n">
        <x:f>IF(A95&lt;=$N$7,1-$N$9*A95/$N$7,$N$11+(A95-$N$7)*($N$13-$N$11)/($N$8-$N$7))</x:f>
        <x:v>-1.2184411131986215</x:v>
      </x:c>
      <x:c r="H95" s="26" t="n">
        <x:f>MIN(F95,B95)</x:f>
        <x:v>1.1565371641372328</x:v>
      </x:c>
      <x:c r="I95" s="26" t="n">
        <x:f>MAX(G95,C95)</x:f>
        <x:v>-1.0399422500874782</x:v>
      </x:c>
      <x:c r="J95" s="26" t="n">
        <x:f>MAX(D95,H95)</x:f>
        <x:v>1.1565371641372328</x:v>
      </x:c>
      <x:c r="K95" s="26" t="n">
        <x:f>MIN(E95,I95)</x:f>
        <x:v>-1.0399422500874782</x:v>
      </x:c>
      <x:c r="P95" s="26" t="n">
        <x:v>45.5</x:v>
      </x:c>
      <x:c r="Q95" s="26" t="n">
        <x:v>1.1565371641372328</x:v>
      </x:c>
      <x:c r="R95" s="26" t="n">
        <x:v>-1.0399422500874782</x:v>
      </x:c>
      <x:c r="S95" s="26" t="n">
        <x:v>1.1565371641372328</x:v>
      </x:c>
      <x:c r="T95" s="26" t="n">
        <x:v>-1.0399422500874782</x:v>
      </x:c>
      <x:c r="U95" s="26" t="n">
        <x:v>3.2184411131986215</x:v>
      </x:c>
      <x:c r="V95" s="26" t="n">
        <x:v>-1.2184411131986215</x:v>
      </x:c>
    </x:row>
    <x:row r="96">
      <x:c r="A96" s="26" t="n">
        <x:v>46</x:v>
      </x:c>
      <x:c r="B96" s="26" t="n">
        <x:f>(A96/$N$3)^2</x:f>
        <x:v>1.182095224883171</x:v>
      </x:c>
      <x:c r="C96" s="26" t="n">
        <x:f>0-(A96/$N$4)^2</x:f>
        <x:v>-1.062923705439007</x:v>
      </x:c>
      <x:c r="D96" s="26" t="n">
        <x:f>MIN(B96,$N$5)</x:f>
        <x:v>1.182095224883171</x:v>
      </x:c>
      <x:c r="E96" s="26" t="n">
        <x:f>IF(A96&lt;=$N$7,MAX(C96,$N$6),MAX(C96,$N$6*($N$8-A96)/($N$8-$N$7)))</x:f>
        <x:v>-1.062923705439007</x:v>
      </x:c>
      <x:c r="F96" s="26" t="n">
        <x:f>IF(A96&lt;=$N$7,1+$N$9*A96/$N$7,$N$10+(A96-$N$7)*($N$12-$N$10)/($N$8-$N$7))</x:f>
        <x:v>3.242819586970035</x:v>
      </x:c>
      <x:c r="G96" s="26" t="n">
        <x:f>IF(A96&lt;=$N$7,1-$N$9*A96/$N$7,$N$11+(A96-$N$7)*($N$13-$N$11)/($N$8-$N$7))</x:f>
        <x:v>-1.2428195869700351</x:v>
      </x:c>
      <x:c r="H96" s="26" t="n">
        <x:f>MIN(F96,B96)</x:f>
        <x:v>1.182095224883171</x:v>
      </x:c>
      <x:c r="I96" s="26" t="n">
        <x:f>MAX(G96,C96)</x:f>
        <x:v>-1.062923705439007</x:v>
      </x:c>
      <x:c r="J96" s="26" t="n">
        <x:f>MAX(D96,H96)</x:f>
        <x:v>1.182095224883171</x:v>
      </x:c>
      <x:c r="K96" s="26" t="n">
        <x:f>MIN(E96,I96)</x:f>
        <x:v>-1.062923705439007</x:v>
      </x:c>
      <x:c r="P96" s="26" t="n">
        <x:v>46</x:v>
      </x:c>
      <x:c r="Q96" s="26" t="n">
        <x:v>1.182095224883171</x:v>
      </x:c>
      <x:c r="R96" s="26" t="n">
        <x:v>-1.062923705439007</x:v>
      </x:c>
      <x:c r="S96" s="26" t="n">
        <x:v>1.182095224883171</x:v>
      </x:c>
      <x:c r="T96" s="26" t="n">
        <x:v>-1.062923705439007</x:v>
      </x:c>
      <x:c r="U96" s="26" t="n">
        <x:v>3.242819586970035</x:v>
      </x:c>
      <x:c r="V96" s="26" t="n">
        <x:v>-1.2428195869700351</x:v>
      </x:c>
    </x:row>
    <x:row r="97">
      <x:c r="A97" s="26" t="n">
        <x:v>46.5</x:v>
      </x:c>
      <x:c r="B97" s="26" t="n">
        <x:f>(A97/$N$3)^2</x:f>
        <x:v>1.2079326086973705</x:v>
      </x:c>
      <x:c r="C97" s="26" t="n">
        <x:f>0-(A97/$N$4)^2</x:f>
        <x:v>-1.0861563242370003</x:v>
      </x:c>
      <x:c r="D97" s="26" t="n">
        <x:f>MIN(B97,$N$5)</x:f>
        <x:v>1.2079326086973705</x:v>
      </x:c>
      <x:c r="E97" s="26" t="n">
        <x:f>IF(A97&lt;=$N$7,MAX(C97,$N$6),MAX(C97,$N$6*($N$8-A97)/($N$8-$N$7)))</x:f>
        <x:v>-1.0861563242370003</x:v>
      </x:c>
      <x:c r="F97" s="26" t="n">
        <x:f>IF(A97&lt;=$N$7,1+$N$9*A97/$N$7,$N$10+(A97-$N$7)*($N$12-$N$10)/($N$8-$N$7))</x:f>
        <x:v>3.2671980607414484</x:v>
      </x:c>
      <x:c r="G97" s="26" t="n">
        <x:f>IF(A97&lt;=$N$7,1-$N$9*A97/$N$7,$N$11+(A97-$N$7)*($N$13-$N$11)/($N$8-$N$7))</x:f>
        <x:v>-1.2671980607414484</x:v>
      </x:c>
      <x:c r="H97" s="26" t="n">
        <x:f>MIN(F97,B97)</x:f>
        <x:v>1.2079326086973705</x:v>
      </x:c>
      <x:c r="I97" s="26" t="n">
        <x:f>MAX(G97,C97)</x:f>
        <x:v>-1.0861563242370003</x:v>
      </x:c>
      <x:c r="J97" s="26" t="n">
        <x:f>MAX(D97,H97)</x:f>
        <x:v>1.2079326086973705</x:v>
      </x:c>
      <x:c r="K97" s="26" t="n">
        <x:f>MIN(E97,I97)</x:f>
        <x:v>-1.0861563242370003</x:v>
      </x:c>
      <x:c r="P97" s="26" t="n">
        <x:v>46.5</x:v>
      </x:c>
      <x:c r="Q97" s="26" t="n">
        <x:v>1.2079326086973705</x:v>
      </x:c>
      <x:c r="R97" s="26" t="n">
        <x:v>-1.0861563242370003</x:v>
      </x:c>
      <x:c r="S97" s="26" t="n">
        <x:v>1.2079326086973705</x:v>
      </x:c>
      <x:c r="T97" s="26" t="n">
        <x:v>-1.0861563242370003</x:v>
      </x:c>
      <x:c r="U97" s="26" t="n">
        <x:v>3.2671980607414484</x:v>
      </x:c>
      <x:c r="V97" s="26" t="n">
        <x:v>-1.2671980607414484</x:v>
      </x:c>
    </x:row>
    <x:row r="98">
      <x:c r="A98" s="26" t="n">
        <x:v>47</x:v>
      </x:c>
      <x:c r="B98" s="26" t="n">
        <x:f>(A98/$N$3)^2</x:f>
        <x:v>1.2340493155798322</x:v>
      </x:c>
      <x:c r="C98" s="26" t="n">
        <x:f>0-(A98/$N$4)^2</x:f>
        <x:v>-1.1096401064814587</x:v>
      </x:c>
      <x:c r="D98" s="26" t="n">
        <x:f>MIN(B98,$N$5)</x:f>
        <x:v>1.2340493155798322</x:v>
      </x:c>
      <x:c r="E98" s="26" t="n">
        <x:f>IF(A98&lt;=$N$7,MAX(C98,$N$6),MAX(C98,$N$6*($N$8-A98)/($N$8-$N$7)))</x:f>
        <x:v>-1.1096401064814587</x:v>
      </x:c>
      <x:c r="F98" s="26" t="n">
        <x:f>IF(A98&lt;=$N$7,1+$N$9*A98/$N$7,$N$10+(A98-$N$7)*($N$12-$N$10)/($N$8-$N$7))</x:f>
        <x:v>3.2915765345128616</x:v>
      </x:c>
      <x:c r="G98" s="26" t="n">
        <x:f>IF(A98&lt;=$N$7,1-$N$9*A98/$N$7,$N$11+(A98-$N$7)*($N$13-$N$11)/($N$8-$N$7))</x:f>
        <x:v>-1.2915765345128616</x:v>
      </x:c>
      <x:c r="H98" s="26" t="n">
        <x:f>MIN(F98,B98)</x:f>
        <x:v>1.2340493155798322</x:v>
      </x:c>
      <x:c r="I98" s="26" t="n">
        <x:f>MAX(G98,C98)</x:f>
        <x:v>-1.1096401064814587</x:v>
      </x:c>
      <x:c r="J98" s="26" t="n">
        <x:f>MAX(D98,H98)</x:f>
        <x:v>1.2340493155798322</x:v>
      </x:c>
      <x:c r="K98" s="26" t="n">
        <x:f>MIN(E98,I98)</x:f>
        <x:v>-1.1096401064814587</x:v>
      </x:c>
      <x:c r="P98" s="26" t="n">
        <x:v>47</x:v>
      </x:c>
      <x:c r="Q98" s="26" t="n">
        <x:v>1.2340493155798322</x:v>
      </x:c>
      <x:c r="R98" s="26" t="n">
        <x:v>-1.1096401064814587</x:v>
      </x:c>
      <x:c r="S98" s="26" t="n">
        <x:v>1.2340493155798322</x:v>
      </x:c>
      <x:c r="T98" s="26" t="n">
        <x:v>-1.1096401064814587</x:v>
      </x:c>
      <x:c r="U98" s="26" t="n">
        <x:v>3.291576534512862</x:v>
      </x:c>
      <x:c r="V98" s="26" t="n">
        <x:v>-1.291576534512862</x:v>
      </x:c>
    </x:row>
    <x:row r="99">
      <x:c r="A99" s="26" t="n">
        <x:v>47.5</x:v>
      </x:c>
      <x:c r="B99" s="26" t="n">
        <x:f>(A99/$N$3)^2</x:f>
        <x:v>1.2604453455305553</x:v>
      </x:c>
      <x:c r="C99" s="26" t="n">
        <x:f>0-(A99/$N$4)^2</x:f>
        <x:v>-1.1333750521723815</x:v>
      </x:c>
      <x:c r="D99" s="26" t="n">
        <x:f>MIN(B99,$N$5)</x:f>
        <x:v>1.2604453455305553</x:v>
      </x:c>
      <x:c r="E99" s="26" t="n">
        <x:f>IF(A99&lt;=$N$7,MAX(C99,$N$6),MAX(C99,$N$6*($N$8-A99)/($N$8-$N$7)))</x:f>
        <x:v>-1.1333750521723815</x:v>
      </x:c>
      <x:c r="F99" s="26" t="n">
        <x:f>IF(A99&lt;=$N$7,1+$N$9*A99/$N$7,$N$10+(A99-$N$7)*($N$12-$N$10)/($N$8-$N$7))</x:f>
        <x:v>3.3159550082842753</x:v>
      </x:c>
      <x:c r="G99" s="26" t="n">
        <x:f>IF(A99&lt;=$N$7,1-$N$9*A99/$N$7,$N$11+(A99-$N$7)*($N$13-$N$11)/($N$8-$N$7))</x:f>
        <x:v>-1.3159550082842753</x:v>
      </x:c>
      <x:c r="H99" s="26" t="n">
        <x:f>MIN(F99,B99)</x:f>
        <x:v>1.2604453455305553</x:v>
      </x:c>
      <x:c r="I99" s="26" t="n">
        <x:f>MAX(G99,C99)</x:f>
        <x:v>-1.1333750521723815</x:v>
      </x:c>
      <x:c r="J99" s="26" t="n">
        <x:f>MAX(D99,H99)</x:f>
        <x:v>1.2604453455305553</x:v>
      </x:c>
      <x:c r="K99" s="26" t="n">
        <x:f>MIN(E99,I99)</x:f>
        <x:v>-1.1333750521723815</x:v>
      </x:c>
      <x:c r="P99" s="26" t="n">
        <x:v>47.5</x:v>
      </x:c>
      <x:c r="Q99" s="26" t="n">
        <x:v>1.2604453455305553</x:v>
      </x:c>
      <x:c r="R99" s="26" t="n">
        <x:v>-1.1333750521723815</x:v>
      </x:c>
      <x:c r="S99" s="26" t="n">
        <x:v>1.2604453455305553</x:v>
      </x:c>
      <x:c r="T99" s="26" t="n">
        <x:v>-1.1333750521723815</x:v>
      </x:c>
      <x:c r="U99" s="26" t="n">
        <x:v>3.3159550082842753</x:v>
      </x:c>
      <x:c r="V99" s="26" t="n">
        <x:v>-1.3159550082842753</x:v>
      </x:c>
    </x:row>
    <x:row r="100">
      <x:c r="A100" s="26" t="n">
        <x:v>48</x:v>
      </x:c>
      <x:c r="B100" s="26" t="n">
        <x:f>(A100/$N$3)^2</x:f>
        <x:v>1.2871206985495396</x:v>
      </x:c>
      <x:c r="C100" s="26" t="n">
        <x:f>0-(A100/$N$4)^2</x:f>
        <x:v>-1.1573611613097696</x:v>
      </x:c>
      <x:c r="D100" s="26" t="n">
        <x:f>MIN(B100,$N$5)</x:f>
        <x:v>1.2871206985495396</x:v>
      </x:c>
      <x:c r="E100" s="26" t="n">
        <x:f>IF(A100&lt;=$N$7,MAX(C100,$N$6),MAX(C100,$N$6*($N$8-A100)/($N$8-$N$7)))</x:f>
        <x:v>-1.1573611613097696</x:v>
      </x:c>
      <x:c r="F100" s="26" t="n">
        <x:f>IF(A100&lt;=$N$7,1+$N$9*A100/$N$7,$N$10+(A100-$N$7)*($N$12-$N$10)/($N$8-$N$7))</x:f>
        <x:v>3.3403334820556885</x:v>
      </x:c>
      <x:c r="G100" s="26" t="n">
        <x:f>IF(A100&lt;=$N$7,1-$N$9*A100/$N$7,$N$11+(A100-$N$7)*($N$13-$N$11)/($N$8-$N$7))</x:f>
        <x:v>-1.3403334820556885</x:v>
      </x:c>
      <x:c r="H100" s="26" t="n">
        <x:f>MIN(F100,B100)</x:f>
        <x:v>1.2871206985495396</x:v>
      </x:c>
      <x:c r="I100" s="26" t="n">
        <x:f>MAX(G100,C100)</x:f>
        <x:v>-1.1573611613097696</x:v>
      </x:c>
      <x:c r="J100" s="26" t="n">
        <x:f>MAX(D100,H100)</x:f>
        <x:v>1.2871206985495396</x:v>
      </x:c>
      <x:c r="K100" s="26" t="n">
        <x:f>MIN(E100,I100)</x:f>
        <x:v>-1.1573611613097696</x:v>
      </x:c>
      <x:c r="P100" s="26" t="n">
        <x:v>48</x:v>
      </x:c>
      <x:c r="Q100" s="26" t="n">
        <x:v>1.2871206985495396</x:v>
      </x:c>
      <x:c r="R100" s="26" t="n">
        <x:v>-1.1573611613097696</x:v>
      </x:c>
      <x:c r="S100" s="26" t="n">
        <x:v>1.2871206985495396</x:v>
      </x:c>
      <x:c r="T100" s="26" t="n">
        <x:v>-1.1573611613097696</x:v>
      </x:c>
      <x:c r="U100" s="26" t="n">
        <x:v>3.340333482055689</x:v>
      </x:c>
      <x:c r="V100" s="26" t="n">
        <x:v>-1.340333482055689</x:v>
      </x:c>
    </x:row>
    <x:row r="101">
      <x:c r="A101" s="26" t="n">
        <x:v>48.5</x:v>
      </x:c>
      <x:c r="B101" s="26" t="n">
        <x:f>(A101/$N$3)^2</x:f>
        <x:v>1.3140753746367861</x:v>
      </x:c>
      <x:c r="C101" s="26" t="n">
        <x:f>0-(A101/$N$4)^2</x:f>
        <x:v>-1.1815984338936218</x:v>
      </x:c>
      <x:c r="D101" s="26" t="n">
        <x:f>MIN(B101,$N$5)</x:f>
        <x:v>1.3140753746367861</x:v>
      </x:c>
      <x:c r="E101" s="26" t="n">
        <x:f>IF(A101&lt;=$N$7,MAX(C101,$N$6),MAX(C101,$N$6*($N$8-A101)/($N$8-$N$7)))</x:f>
        <x:v>-1.1815984338936218</x:v>
      </x:c>
      <x:c r="F101" s="26" t="n">
        <x:f>IF(A101&lt;=$N$7,1+$N$9*A101/$N$7,$N$10+(A101-$N$7)*($N$12-$N$10)/($N$8-$N$7))</x:f>
        <x:v>3.364711955827102</x:v>
      </x:c>
      <x:c r="G101" s="26" t="n">
        <x:f>IF(A101&lt;=$N$7,1-$N$9*A101/$N$7,$N$11+(A101-$N$7)*($N$13-$N$11)/($N$8-$N$7))</x:f>
        <x:v>-1.3647119558271021</x:v>
      </x:c>
      <x:c r="H101" s="26" t="n">
        <x:f>MIN(F101,B101)</x:f>
        <x:v>1.3140753746367861</x:v>
      </x:c>
      <x:c r="I101" s="26" t="n">
        <x:f>MAX(G101,C101)</x:f>
        <x:v>-1.1815984338936218</x:v>
      </x:c>
      <x:c r="J101" s="26" t="n">
        <x:f>MAX(D101,H101)</x:f>
        <x:v>1.3140753746367861</x:v>
      </x:c>
      <x:c r="K101" s="26" t="n">
        <x:f>MIN(E101,I101)</x:f>
        <x:v>-1.1815984338936218</x:v>
      </x:c>
      <x:c r="P101" s="26" t="n">
        <x:v>48.5</x:v>
      </x:c>
      <x:c r="Q101" s="26" t="n">
        <x:v>1.3140753746367861</x:v>
      </x:c>
      <x:c r="R101" s="26" t="n">
        <x:v>-1.1815984338936218</x:v>
      </x:c>
      <x:c r="S101" s="26" t="n">
        <x:v>1.3140753746367861</x:v>
      </x:c>
      <x:c r="T101" s="26" t="n">
        <x:v>-1.1815984338936218</x:v>
      </x:c>
      <x:c r="U101" s="26" t="n">
        <x:v>3.364711955827102</x:v>
      </x:c>
      <x:c r="V101" s="26" t="n">
        <x:v>-1.3647119558271021</x:v>
      </x:c>
    </x:row>
    <x:row r="102">
      <x:c r="A102" s="26" t="n">
        <x:v>49</x:v>
      </x:c>
      <x:c r="B102" s="26" t="n">
        <x:f>(A102/$N$3)^2</x:f>
        <x:v>1.3413093737922936</x:v>
      </x:c>
      <x:c r="C102" s="26" t="n">
        <x:f>0-(A102/$N$4)^2</x:f>
        <x:v>-1.2060868699239395</x:v>
      </x:c>
      <x:c r="D102" s="26" t="n">
        <x:f>MIN(B102,$N$5)</x:f>
        <x:v>1.3413093737922936</x:v>
      </x:c>
      <x:c r="E102" s="26" t="n">
        <x:f>IF(A102&lt;=$N$7,MAX(C102,$N$6),MAX(C102,$N$6*($N$8-A102)/($N$8-$N$7)))</x:f>
        <x:v>-1.2060868699239395</x:v>
      </x:c>
      <x:c r="F102" s="26" t="n">
        <x:f>IF(A102&lt;=$N$7,1+$N$9*A102/$N$7,$N$10+(A102-$N$7)*($N$12-$N$10)/($N$8-$N$7))</x:f>
        <x:v>3.389090429598516</x:v>
      </x:c>
      <x:c r="G102" s="26" t="n">
        <x:f>IF(A102&lt;=$N$7,1-$N$9*A102/$N$7,$N$11+(A102-$N$7)*($N$13-$N$11)/($N$8-$N$7))</x:f>
        <x:v>-1.3890904295985158</x:v>
      </x:c>
      <x:c r="H102" s="26" t="n">
        <x:f>MIN(F102,B102)</x:f>
        <x:v>1.3413093737922936</x:v>
      </x:c>
      <x:c r="I102" s="26" t="n">
        <x:f>MAX(G102,C102)</x:f>
        <x:v>-1.2060868699239395</x:v>
      </x:c>
      <x:c r="J102" s="26" t="n">
        <x:f>MAX(D102,H102)</x:f>
        <x:v>1.3413093737922936</x:v>
      </x:c>
      <x:c r="K102" s="26" t="n">
        <x:f>MIN(E102,I102)</x:f>
        <x:v>-1.2060868699239395</x:v>
      </x:c>
      <x:c r="P102" s="26" t="n">
        <x:v>49</x:v>
      </x:c>
      <x:c r="Q102" s="26" t="n">
        <x:v>1.3413093737922936</x:v>
      </x:c>
      <x:c r="R102" s="26" t="n">
        <x:v>-1.2060868699239395</x:v>
      </x:c>
      <x:c r="S102" s="26" t="n">
        <x:v>1.3413093737922936</x:v>
      </x:c>
      <x:c r="T102" s="26" t="n">
        <x:v>-1.2060868699239395</x:v>
      </x:c>
      <x:c r="U102" s="26" t="n">
        <x:v>3.3890904295985154</x:v>
      </x:c>
      <x:c r="V102" s="26" t="n">
        <x:v>-1.3890904295985154</x:v>
      </x:c>
    </x:row>
    <x:row r="103">
      <x:c r="A103" s="26" t="n">
        <x:v>49.5</x:v>
      </x:c>
      <x:c r="B103" s="26" t="n">
        <x:f>(A103/$N$3)^2</x:f>
        <x:v>1.3688226960160632</x:v>
      </x:c>
      <x:c r="C103" s="26" t="n">
        <x:f>0-(A103/$N$4)^2</x:f>
        <x:v>-1.2308264694007216</x:v>
      </x:c>
      <x:c r="D103" s="26" t="n">
        <x:f>MIN(B103,$N$5)</x:f>
        <x:v>1.3688226960160632</x:v>
      </x:c>
      <x:c r="E103" s="26" t="n">
        <x:f>IF(A103&lt;=$N$7,MAX(C103,$N$6),MAX(C103,$N$6*($N$8-A103)/($N$8-$N$7)))</x:f>
        <x:v>-1.2308264694007216</x:v>
      </x:c>
      <x:c r="F103" s="26" t="n">
        <x:f>IF(A103&lt;=$N$7,1+$N$9*A103/$N$7,$N$10+(A103-$N$7)*($N$12-$N$10)/($N$8-$N$7))</x:f>
        <x:v>3.4134689033699286</x:v>
      </x:c>
      <x:c r="G103" s="26" t="n">
        <x:f>IF(A103&lt;=$N$7,1-$N$9*A103/$N$7,$N$11+(A103-$N$7)*($N$13-$N$11)/($N$8-$N$7))</x:f>
        <x:v>-1.4134689033699286</x:v>
      </x:c>
      <x:c r="H103" s="26" t="n">
        <x:f>MIN(F103,B103)</x:f>
        <x:v>1.3688226960160632</x:v>
      </x:c>
      <x:c r="I103" s="26" t="n">
        <x:f>MAX(G103,C103)</x:f>
        <x:v>-1.2308264694007216</x:v>
      </x:c>
      <x:c r="J103" s="26" t="n">
        <x:f>MAX(D103,H103)</x:f>
        <x:v>1.3688226960160632</x:v>
      </x:c>
      <x:c r="K103" s="26" t="n">
        <x:f>MIN(E103,I103)</x:f>
        <x:v>-1.2308264694007216</x:v>
      </x:c>
      <x:c r="P103" s="26" t="n">
        <x:v>49.5</x:v>
      </x:c>
      <x:c r="Q103" s="26" t="n">
        <x:v>1.3688226960160632</x:v>
      </x:c>
      <x:c r="R103" s="26" t="n">
        <x:v>-1.2308264694007216</x:v>
      </x:c>
      <x:c r="S103" s="26" t="n">
        <x:v>1.3688226960160632</x:v>
      </x:c>
      <x:c r="T103" s="26" t="n">
        <x:v>-1.2308264694007216</x:v>
      </x:c>
      <x:c r="U103" s="26" t="n">
        <x:v>3.413468903369929</x:v>
      </x:c>
      <x:c r="V103" s="26" t="n">
        <x:v>-1.413468903369929</x:v>
      </x:c>
    </x:row>
    <x:row r="104">
      <x:c r="A104" s="26" t="n">
        <x:v>50</x:v>
      </x:c>
      <x:c r="B104" s="26" t="n">
        <x:f>(A104/$N$3)^2</x:f>
        <x:v>1.3966153413080946</x:v>
      </x:c>
      <x:c r="C104" s="26" t="n">
        <x:f>0-(A104/$N$4)^2</x:f>
        <x:v>-1.2558172323239682</x:v>
      </x:c>
      <x:c r="D104" s="26" t="n">
        <x:f>MIN(B104,$N$5)</x:f>
        <x:v>1.3966153413080946</x:v>
      </x:c>
      <x:c r="E104" s="26" t="n">
        <x:f>IF(A104&lt;=$N$7,MAX(C104,$N$6),MAX(C104,$N$6*($N$8-A104)/($N$8-$N$7)))</x:f>
        <x:v>-1.2558172323239682</x:v>
      </x:c>
      <x:c r="F104" s="26" t="n">
        <x:f>IF(A104&lt;=$N$7,1+$N$9*A104/$N$7,$N$10+(A104-$N$7)*($N$12-$N$10)/($N$8-$N$7))</x:f>
        <x:v>3.4378473771413423</x:v>
      </x:c>
      <x:c r="G104" s="26" t="n">
        <x:f>IF(A104&lt;=$N$7,1-$N$9*A104/$N$7,$N$11+(A104-$N$7)*($N$13-$N$11)/($N$8-$N$7))</x:f>
        <x:v>-1.4378473771413423</x:v>
      </x:c>
      <x:c r="H104" s="26" t="n">
        <x:f>MIN(F104,B104)</x:f>
        <x:v>1.3966153413080946</x:v>
      </x:c>
      <x:c r="I104" s="26" t="n">
        <x:f>MAX(G104,C104)</x:f>
        <x:v>-1.2558172323239682</x:v>
      </x:c>
      <x:c r="J104" s="26" t="n">
        <x:f>MAX(D104,H104)</x:f>
        <x:v>1.3966153413080946</x:v>
      </x:c>
      <x:c r="K104" s="26" t="n">
        <x:f>MIN(E104,I104)</x:f>
        <x:v>-1.2558172323239682</x:v>
      </x:c>
      <x:c r="P104" s="26" t="n">
        <x:v>50</x:v>
      </x:c>
      <x:c r="Q104" s="26" t="n">
        <x:v>1.3966153413080946</x:v>
      </x:c>
      <x:c r="R104" s="26" t="n">
        <x:v>-1.2558172323239682</x:v>
      </x:c>
      <x:c r="S104" s="26" t="n">
        <x:v>1.3966153413080946</x:v>
      </x:c>
      <x:c r="T104" s="26" t="n">
        <x:v>-1.2558172323239682</x:v>
      </x:c>
      <x:c r="U104" s="26" t="n">
        <x:v>3.4378473771413423</x:v>
      </x:c>
      <x:c r="V104" s="26" t="n">
        <x:v>-1.4378473771413423</x:v>
      </x:c>
    </x:row>
    <x:row r="105">
      <x:c r="A105" s="26" t="n">
        <x:v>50.5</x:v>
      </x:c>
      <x:c r="B105" s="26" t="n">
        <x:f>(A105/$N$3)^2</x:f>
        <x:v>1.424687309668387</x:v>
      </x:c>
      <x:c r="C105" s="26" t="n">
        <x:f>0-(A105/$N$4)^2</x:f>
        <x:v>-1.2810591586936804</x:v>
      </x:c>
      <x:c r="D105" s="26" t="n">
        <x:f>MIN(B105,$N$5)</x:f>
        <x:v>1.424687309668387</x:v>
      </x:c>
      <x:c r="E105" s="26" t="n">
        <x:f>IF(A105&lt;=$N$7,MAX(C105,$N$6),MAX(C105,$N$6*($N$8-A105)/($N$8-$N$7)))</x:f>
        <x:v>-1.2810591586936804</x:v>
      </x:c>
      <x:c r="F105" s="26" t="n">
        <x:f>IF(A105&lt;=$N$7,1+$N$9*A105/$N$7,$N$10+(A105-$N$7)*($N$12-$N$10)/($N$8-$N$7))</x:f>
        <x:v>3.462225850912756</x:v>
      </x:c>
      <x:c r="G105" s="26" t="n">
        <x:f>IF(A105&lt;=$N$7,1-$N$9*A105/$N$7,$N$11+(A105-$N$7)*($N$13-$N$11)/($N$8-$N$7))</x:f>
        <x:v>-1.462225850912756</x:v>
      </x:c>
      <x:c r="H105" s="26" t="n">
        <x:f>MIN(F105,B105)</x:f>
        <x:v>1.424687309668387</x:v>
      </x:c>
      <x:c r="I105" s="26" t="n">
        <x:f>MAX(G105,C105)</x:f>
        <x:v>-1.2810591586936804</x:v>
      </x:c>
      <x:c r="J105" s="26" t="n">
        <x:f>MAX(D105,H105)</x:f>
        <x:v>1.424687309668387</x:v>
      </x:c>
      <x:c r="K105" s="26" t="n">
        <x:f>MIN(E105,I105)</x:f>
        <x:v>-1.2810591586936804</x:v>
      </x:c>
      <x:c r="P105" s="26" t="n">
        <x:v>50.5</x:v>
      </x:c>
      <x:c r="Q105" s="26" t="n">
        <x:v>1.424687309668387</x:v>
      </x:c>
      <x:c r="R105" s="26" t="n">
        <x:v>-1.2810591586936804</x:v>
      </x:c>
      <x:c r="S105" s="26" t="n">
        <x:v>1.424687309668387</x:v>
      </x:c>
      <x:c r="T105" s="26" t="n">
        <x:v>-1.2810591586936804</x:v>
      </x:c>
      <x:c r="U105" s="26" t="n">
        <x:v>3.462225850912756</x:v>
      </x:c>
      <x:c r="V105" s="26" t="n">
        <x:v>-1.462225850912756</x:v>
      </x:c>
    </x:row>
    <x:row r="106">
      <x:c r="A106" s="26" t="n">
        <x:v>51</x:v>
      </x:c>
      <x:c r="B106" s="26" t="n">
        <x:f>(A106/$N$3)^2</x:f>
        <x:v>1.4530386010969414</x:v>
      </x:c>
      <x:c r="C106" s="26" t="n">
        <x:f>0-(A106/$N$4)^2</x:f>
        <x:v>-1.3065522485098566</x:v>
      </x:c>
      <x:c r="D106" s="26" t="n">
        <x:f>MIN(B106,$N$5)</x:f>
        <x:v>1.4530386010969414</x:v>
      </x:c>
      <x:c r="E106" s="26" t="n">
        <x:f>IF(A106&lt;=$N$7,MAX(C106,$N$6),MAX(C106,$N$6*($N$8-A106)/($N$8-$N$7)))</x:f>
        <x:v>-1.3065522485098566</x:v>
      </x:c>
      <x:c r="F106" s="26" t="n">
        <x:f>IF(A106&lt;=$N$7,1+$N$9*A106/$N$7,$N$10+(A106-$N$7)*($N$12-$N$10)/($N$8-$N$7))</x:f>
        <x:v>3.486604324684169</x:v>
      </x:c>
      <x:c r="G106" s="26" t="n">
        <x:f>IF(A106&lt;=$N$7,1-$N$9*A106/$N$7,$N$11+(A106-$N$7)*($N$13-$N$11)/($N$8-$N$7))</x:f>
        <x:v>-1.4866043246841691</x:v>
      </x:c>
      <x:c r="H106" s="26" t="n">
        <x:f>MIN(F106,B106)</x:f>
        <x:v>1.4530386010969414</x:v>
      </x:c>
      <x:c r="I106" s="26" t="n">
        <x:f>MAX(G106,C106)</x:f>
        <x:v>-1.3065522485098566</x:v>
      </x:c>
      <x:c r="J106" s="26" t="n">
        <x:f>MAX(D106,H106)</x:f>
        <x:v>1.4530386010969414</x:v>
      </x:c>
      <x:c r="K106" s="26" t="n">
        <x:f>MIN(E106,I106)</x:f>
        <x:v>-1.3065522485098566</x:v>
      </x:c>
      <x:c r="P106" s="26" t="n">
        <x:v>51</x:v>
      </x:c>
      <x:c r="Q106" s="26" t="n">
        <x:v>1.4530386010969414</x:v>
      </x:c>
      <x:c r="R106" s="26" t="n">
        <x:v>-1.3065522485098566</x:v>
      </x:c>
      <x:c r="S106" s="26" t="n">
        <x:v>1.4530386010969414</x:v>
      </x:c>
      <x:c r="T106" s="26" t="n">
        <x:v>-1.3065522485098566</x:v>
      </x:c>
      <x:c r="U106" s="26" t="n">
        <x:v>3.486604324684169</x:v>
      </x:c>
      <x:c r="V106" s="26" t="n">
        <x:v>-1.4866043246841691</x:v>
      </x:c>
    </x:row>
    <x:row r="107">
      <x:c r="A107" s="26" t="n">
        <x:v>51.5</x:v>
      </x:c>
      <x:c r="B107" s="26" t="n">
        <x:f>(A107/$N$3)^2</x:f>
        <x:v>1.481669215593757</x:v>
      </x:c>
      <x:c r="C107" s="26" t="n">
        <x:f>0-(A107/$N$4)^2</x:f>
        <x:v>-1.3322965017724981</x:v>
      </x:c>
      <x:c r="D107" s="26" t="n">
        <x:f>MIN(B107,$N$5)</x:f>
        <x:v>1.481669215593757</x:v>
      </x:c>
      <x:c r="E107" s="26" t="n">
        <x:f>IF(A107&lt;=$N$7,MAX(C107,$N$6),MAX(C107,$N$6*($N$8-A107)/($N$8-$N$7)))</x:f>
        <x:v>-1.3322965017724981</x:v>
      </x:c>
      <x:c r="F107" s="26" t="n">
        <x:f>IF(A107&lt;=$N$7,1+$N$9*A107/$N$7,$N$10+(A107-$N$7)*($N$12-$N$10)/($N$8-$N$7))</x:f>
        <x:v>3.510982798455583</x:v>
      </x:c>
      <x:c r="G107" s="26" t="n">
        <x:f>IF(A107&lt;=$N$7,1-$N$9*A107/$N$7,$N$11+(A107-$N$7)*($N$13-$N$11)/($N$8-$N$7))</x:f>
        <x:v>-1.5109827984555828</x:v>
      </x:c>
      <x:c r="H107" s="26" t="n">
        <x:f>MIN(F107,B107)</x:f>
        <x:v>1.481669215593757</x:v>
      </x:c>
      <x:c r="I107" s="26" t="n">
        <x:f>MAX(G107,C107)</x:f>
        <x:v>-1.3322965017724981</x:v>
      </x:c>
      <x:c r="J107" s="26" t="n">
        <x:f>MAX(D107,H107)</x:f>
        <x:v>1.481669215593757</x:v>
      </x:c>
      <x:c r="K107" s="26" t="n">
        <x:f>MIN(E107,I107)</x:f>
        <x:v>-1.3322965017724981</x:v>
      </x:c>
      <x:c r="P107" s="26" t="n">
        <x:v>51.5</x:v>
      </x:c>
      <x:c r="Q107" s="26" t="n">
        <x:v>1.481669215593757</x:v>
      </x:c>
      <x:c r="R107" s="26" t="n">
        <x:v>-1.3322965017724981</x:v>
      </x:c>
      <x:c r="S107" s="26" t="n">
        <x:v>1.481669215593757</x:v>
      </x:c>
      <x:c r="T107" s="26" t="n">
        <x:v>-1.3322965017724981</x:v>
      </x:c>
      <x:c r="U107" s="26" t="n">
        <x:v>3.510982798455583</x:v>
      </x:c>
      <x:c r="V107" s="26" t="n">
        <x:v>-1.5109827984555828</x:v>
      </x:c>
    </x:row>
    <x:row r="108">
      <x:c r="A108" s="26" t="n">
        <x:v>52</x:v>
      </x:c>
      <x:c r="B108" s="26" t="n">
        <x:f>(A108/$N$3)^2</x:f>
        <x:v>1.5105791531588348</x:v>
      </x:c>
      <x:c r="C108" s="26" t="n">
        <x:f>0-(A108/$N$4)^2</x:f>
        <x:v>-1.3582919184816042</x:v>
      </x:c>
      <x:c r="D108" s="26" t="n">
        <x:f>MIN(B108,$N$5)</x:f>
        <x:v>1.5105791531588348</x:v>
      </x:c>
      <x:c r="E108" s="26" t="n">
        <x:f>IF(A108&lt;=$N$7,MAX(C108,$N$6),MAX(C108,$N$6*($N$8-A108)/($N$8-$N$7)))</x:f>
        <x:v>-1.3582919184816042</x:v>
      </x:c>
      <x:c r="F108" s="26" t="n">
        <x:f>IF(A108&lt;=$N$7,1+$N$9*A108/$N$7,$N$10+(A108-$N$7)*($N$12-$N$10)/($N$8-$N$7))</x:f>
        <x:v>3.535361272226996</x:v>
      </x:c>
      <x:c r="G108" s="26" t="n">
        <x:f>IF(A108&lt;=$N$7,1-$N$9*A108/$N$7,$N$11+(A108-$N$7)*($N$13-$N$11)/($N$8-$N$7))</x:f>
        <x:v>-1.535361272226996</x:v>
      </x:c>
      <x:c r="H108" s="26" t="n">
        <x:f>MIN(F108,B108)</x:f>
        <x:v>1.5105791531588348</x:v>
      </x:c>
      <x:c r="I108" s="26" t="n">
        <x:f>MAX(G108,C108)</x:f>
        <x:v>-1.3582919184816042</x:v>
      </x:c>
      <x:c r="J108" s="26" t="n">
        <x:f>MAX(D108,H108)</x:f>
        <x:v>1.5105791531588348</x:v>
      </x:c>
      <x:c r="K108" s="26" t="n">
        <x:f>MIN(E108,I108)</x:f>
        <x:v>-1.3582919184816042</x:v>
      </x:c>
      <x:c r="P108" s="26" t="n">
        <x:v>52</x:v>
      </x:c>
      <x:c r="Q108" s="26" t="n">
        <x:v>1.5105791531588348</x:v>
      </x:c>
      <x:c r="R108" s="26" t="n">
        <x:v>-1.3582919184816042</x:v>
      </x:c>
      <x:c r="S108" s="26" t="n">
        <x:v>1.5105791531588348</x:v>
      </x:c>
      <x:c r="T108" s="26" t="n">
        <x:v>-1.3582919184816042</x:v>
      </x:c>
      <x:c r="U108" s="26" t="n">
        <x:v>3.535361272226996</x:v>
      </x:c>
      <x:c r="V108" s="26" t="n">
        <x:v>-1.535361272226996</x:v>
      </x:c>
    </x:row>
    <x:row r="109">
      <x:c r="A109" s="26" t="n">
        <x:v>52.5</x:v>
      </x:c>
      <x:c r="B109" s="26" t="n">
        <x:f>(A109/$N$3)^2</x:f>
        <x:v>1.5397684137921743</x:v>
      </x:c>
      <x:c r="C109" s="26" t="n">
        <x:f>0-(A109/$N$4)^2</x:f>
        <x:v>-1.3845384986371754</x:v>
      </x:c>
      <x:c r="D109" s="26" t="n">
        <x:f>MIN(B109,$N$5)</x:f>
        <x:v>1.5397684137921743</x:v>
      </x:c>
      <x:c r="E109" s="26" t="n">
        <x:f>IF(A109&lt;=$N$7,MAX(C109,$N$6),MAX(C109,$N$6*($N$8-A109)/($N$8-$N$7)))</x:f>
        <x:v>-1.3845384986371754</x:v>
      </x:c>
      <x:c r="F109" s="26" t="n">
        <x:f>IF(A109&lt;=$N$7,1+$N$9*A109/$N$7,$N$10+(A109-$N$7)*($N$12-$N$10)/($N$8-$N$7))</x:f>
        <x:v>3.5597397459984093</x:v>
      </x:c>
      <x:c r="G109" s="26" t="n">
        <x:f>IF(A109&lt;=$N$7,1-$N$9*A109/$N$7,$N$11+(A109-$N$7)*($N$13-$N$11)/($N$8-$N$7))</x:f>
        <x:v>-1.5597397459984093</x:v>
      </x:c>
      <x:c r="H109" s="26" t="n">
        <x:f>MIN(F109,B109)</x:f>
        <x:v>1.5397684137921743</x:v>
      </x:c>
      <x:c r="I109" s="26" t="n">
        <x:f>MAX(G109,C109)</x:f>
        <x:v>-1.3845384986371754</x:v>
      </x:c>
      <x:c r="J109" s="26" t="n">
        <x:f>MAX(D109,H109)</x:f>
        <x:v>1.5397684137921743</x:v>
      </x:c>
      <x:c r="K109" s="26" t="n">
        <x:f>MIN(E109,I109)</x:f>
        <x:v>-1.3845384986371754</x:v>
      </x:c>
      <x:c r="P109" s="26" t="n">
        <x:v>52.5</x:v>
      </x:c>
      <x:c r="Q109" s="26" t="n">
        <x:v>1.5397684137921743</x:v>
      </x:c>
      <x:c r="R109" s="26" t="n">
        <x:v>-1.3845384986371754</x:v>
      </x:c>
      <x:c r="S109" s="26" t="n">
        <x:v>1.5397684137921743</x:v>
      </x:c>
      <x:c r="T109" s="26" t="n">
        <x:v>-1.3845384986371754</x:v>
      </x:c>
      <x:c r="U109" s="26" t="n">
        <x:v>3.5597397459984097</x:v>
      </x:c>
      <x:c r="V109" s="26" t="n">
        <x:v>-1.5597397459984097</x:v>
      </x:c>
    </x:row>
    <x:row r="110">
      <x:c r="A110" s="26" t="n">
        <x:v>53</x:v>
      </x:c>
      <x:c r="B110" s="26" t="n">
        <x:f>(A110/$N$3)^2</x:f>
        <x:v>1.5692369974937748</x:v>
      </x:c>
      <x:c r="C110" s="26" t="n">
        <x:f>0-(A110/$N$4)^2</x:f>
        <x:v>-1.4110362422392109</x:v>
      </x:c>
      <x:c r="D110" s="26" t="n">
        <x:f>MIN(B110,$N$5)</x:f>
        <x:v>1.5692369974937748</x:v>
      </x:c>
      <x:c r="E110" s="26" t="n">
        <x:f>IF(A110&lt;=$N$7,MAX(C110,$N$6),MAX(C110,$N$6*($N$8-A110)/($N$8-$N$7)))</x:f>
        <x:v>-1.4110362422392109</x:v>
      </x:c>
      <x:c r="F110" s="26" t="n">
        <x:f>IF(A110&lt;=$N$7,1+$N$9*A110/$N$7,$N$10+(A110-$N$7)*($N$12-$N$10)/($N$8-$N$7))</x:f>
        <x:v>3.584118219769823</x:v>
      </x:c>
      <x:c r="G110" s="26" t="n">
        <x:f>IF(A110&lt;=$N$7,1-$N$9*A110/$N$7,$N$11+(A110-$N$7)*($N$13-$N$11)/($N$8-$N$7))</x:f>
        <x:v>-1.584118219769823</x:v>
      </x:c>
      <x:c r="H110" s="26" t="n">
        <x:f>MIN(F110,B110)</x:f>
        <x:v>1.5692369974937748</x:v>
      </x:c>
      <x:c r="I110" s="26" t="n">
        <x:f>MAX(G110,C110)</x:f>
        <x:v>-1.4110362422392109</x:v>
      </x:c>
      <x:c r="J110" s="26" t="n">
        <x:f>MAX(D110,H110)</x:f>
        <x:v>1.5692369974937748</x:v>
      </x:c>
      <x:c r="K110" s="26" t="n">
        <x:f>MIN(E110,I110)</x:f>
        <x:v>-1.4110362422392109</x:v>
      </x:c>
      <x:c r="P110" s="26" t="n">
        <x:v>53</x:v>
      </x:c>
      <x:c r="Q110" s="26" t="n">
        <x:v>1.5692369974937748</x:v>
      </x:c>
      <x:c r="R110" s="26" t="n">
        <x:v>-1.4110362422392109</x:v>
      </x:c>
      <x:c r="S110" s="26" t="n">
        <x:v>1.5692369974937748</x:v>
      </x:c>
      <x:c r="T110" s="26" t="n">
        <x:v>-1.4110362422392109</x:v>
      </x:c>
      <x:c r="U110" s="26" t="n">
        <x:v>3.584118219769823</x:v>
      </x:c>
      <x:c r="V110" s="26" t="n">
        <x:v>-1.584118219769823</x:v>
      </x:c>
    </x:row>
    <x:row r="111">
      <x:c r="A111" s="26" t="n">
        <x:v>53.5</x:v>
      </x:c>
      <x:c r="B111" s="26" t="n">
        <x:f>(A111/$N$3)^2</x:f>
        <x:v>1.5989849042636373</x:v>
      </x:c>
      <x:c r="C111" s="26" t="n">
        <x:f>0-(A111/$N$4)^2</x:f>
        <x:v>-1.4377851492877116</x:v>
      </x:c>
      <x:c r="D111" s="26" t="n">
        <x:f>MIN(B111,$N$5)</x:f>
        <x:v>1.5989849042636373</x:v>
      </x:c>
      <x:c r="E111" s="26" t="n">
        <x:f>IF(A111&lt;=$N$7,MAX(C111,$N$6),MAX(C111,$N$6*($N$8-A111)/($N$8-$N$7)))</x:f>
        <x:v>-1.4377851492877116</x:v>
      </x:c>
      <x:c r="F111" s="26" t="n">
        <x:f>IF(A111&lt;=$N$7,1+$N$9*A111/$N$7,$N$10+(A111-$N$7)*($N$12-$N$10)/($N$8-$N$7))</x:f>
        <x:v>3.608496693541236</x:v>
      </x:c>
      <x:c r="G111" s="26" t="n">
        <x:f>IF(A111&lt;=$N$7,1-$N$9*A111/$N$7,$N$11+(A111-$N$7)*($N$13-$N$11)/($N$8-$N$7))</x:f>
        <x:v>-1.6084966935412361</x:v>
      </x:c>
      <x:c r="H111" s="26" t="n">
        <x:f>MIN(F111,B111)</x:f>
        <x:v>1.5989849042636373</x:v>
      </x:c>
      <x:c r="I111" s="26" t="n">
        <x:f>MAX(G111,C111)</x:f>
        <x:v>-1.4377851492877116</x:v>
      </x:c>
      <x:c r="J111" s="26" t="n">
        <x:f>MAX(D111,H111)</x:f>
        <x:v>1.5989849042636373</x:v>
      </x:c>
      <x:c r="K111" s="26" t="n">
        <x:f>MIN(E111,I111)</x:f>
        <x:v>-1.4377851492877116</x:v>
      </x:c>
      <x:c r="P111" s="26" t="n">
        <x:v>53.5</x:v>
      </x:c>
      <x:c r="Q111" s="26" t="n">
        <x:v>1.5989849042636373</x:v>
      </x:c>
      <x:c r="R111" s="26" t="n">
        <x:v>-1.4377851492877116</x:v>
      </x:c>
      <x:c r="S111" s="26" t="n">
        <x:v>1.5989849042636373</x:v>
      </x:c>
      <x:c r="T111" s="26" t="n">
        <x:v>-1.4377851492877116</x:v>
      </x:c>
      <x:c r="U111" s="26" t="n">
        <x:v>3.608496693541236</x:v>
      </x:c>
      <x:c r="V111" s="26" t="n">
        <x:v>-1.6084966935412361</x:v>
      </x:c>
    </x:row>
    <x:row r="112">
      <x:c r="A112" s="26" t="n">
        <x:v>54</x:v>
      </x:c>
      <x:c r="B112" s="26" t="n">
        <x:f>(A112/$N$3)^2</x:f>
        <x:v>1.629012134101761</x:v>
      </x:c>
      <x:c r="C112" s="26" t="n">
        <x:f>0-(A112/$N$4)^2</x:f>
        <x:v>-1.4647852197826767</x:v>
      </x:c>
      <x:c r="D112" s="26" t="n">
        <x:f>MIN(B112,$N$5)</x:f>
        <x:v>1.629012134101761</x:v>
      </x:c>
      <x:c r="E112" s="26" t="n">
        <x:f>IF(A112&lt;=$N$7,MAX(C112,$N$6),MAX(C112,$N$6*($N$8-A112)/($N$8-$N$7)))</x:f>
        <x:v>-1.4647852197826767</x:v>
      </x:c>
      <x:c r="F112" s="26" t="n">
        <x:f>IF(A112&lt;=$N$7,1+$N$9*A112/$N$7,$N$10+(A112-$N$7)*($N$12-$N$10)/($N$8-$N$7))</x:f>
        <x:v>3.63287516731265</x:v>
      </x:c>
      <x:c r="G112" s="26" t="n">
        <x:f>IF(A112&lt;=$N$7,1-$N$9*A112/$N$7,$N$11+(A112-$N$7)*($N$13-$N$11)/($N$8-$N$7))</x:f>
        <x:v>-1.6328751673126498</x:v>
      </x:c>
      <x:c r="H112" s="26" t="n">
        <x:f>MIN(F112,B112)</x:f>
        <x:v>1.629012134101761</x:v>
      </x:c>
      <x:c r="I112" s="26" t="n">
        <x:f>MAX(G112,C112)</x:f>
        <x:v>-1.4647852197826767</x:v>
      </x:c>
      <x:c r="J112" s="26" t="n">
        <x:f>MAX(D112,H112)</x:f>
        <x:v>1.629012134101761</x:v>
      </x:c>
      <x:c r="K112" s="26" t="n">
        <x:f>MIN(E112,I112)</x:f>
        <x:v>-1.4647852197826767</x:v>
      </x:c>
      <x:c r="P112" s="26" t="n">
        <x:v>54</x:v>
      </x:c>
      <x:c r="Q112" s="26" t="n">
        <x:v>1.629012134101761</x:v>
      </x:c>
      <x:c r="R112" s="26" t="n">
        <x:v>-1.4647852197826767</x:v>
      </x:c>
      <x:c r="S112" s="26" t="n">
        <x:v>1.629012134101761</x:v>
      </x:c>
      <x:c r="T112" s="26" t="n">
        <x:v>-1.4647852197826767</x:v>
      </x:c>
      <x:c r="U112" s="26" t="n">
        <x:v>3.63287516731265</x:v>
      </x:c>
      <x:c r="V112" s="26" t="n">
        <x:v>-1.6328751673126498</x:v>
      </x:c>
    </x:row>
    <x:row r="113">
      <x:c r="A113" s="26" t="n">
        <x:v>54.5</x:v>
      </x:c>
      <x:c r="B113" s="26" t="n">
        <x:f>(A113/$N$3)^2</x:f>
        <x:v>1.6593186870081469</x:v>
      </x:c>
      <x:c r="C113" s="26" t="n">
        <x:f>0-(A113/$N$4)^2</x:f>
        <x:v>-1.492036453724107</x:v>
      </x:c>
      <x:c r="D113" s="26" t="n">
        <x:f>MIN(B113,$N$5)</x:f>
        <x:v>1.6593186870081469</x:v>
      </x:c>
      <x:c r="E113" s="26" t="n">
        <x:f>IF(A113&lt;=$N$7,MAX(C113,$N$6),MAX(C113,$N$6*($N$8-A113)/($N$8-$N$7)))</x:f>
        <x:v>-1.492036453724107</x:v>
      </x:c>
      <x:c r="F113" s="26" t="n">
        <x:f>IF(A113&lt;=$N$7,1+$N$9*A113/$N$7,$N$10+(A113-$N$7)*($N$12-$N$10)/($N$8-$N$7))</x:f>
        <x:v>3.6572536410840635</x:v>
      </x:c>
      <x:c r="G113" s="26" t="n">
        <x:f>IF(A113&lt;=$N$7,1-$N$9*A113/$N$7,$N$11+(A113-$N$7)*($N$13-$N$11)/($N$8-$N$7))</x:f>
        <x:v>-1.6572536410840635</x:v>
      </x:c>
      <x:c r="H113" s="26" t="n">
        <x:f>MIN(F113,B113)</x:f>
        <x:v>1.6593186870081469</x:v>
      </x:c>
      <x:c r="I113" s="26" t="n">
        <x:f>MAX(G113,C113)</x:f>
        <x:v>-1.492036453724107</x:v>
      </x:c>
      <x:c r="J113" s="26" t="n">
        <x:f>MAX(D113,H113)</x:f>
        <x:v>1.6593186870081469</x:v>
      </x:c>
      <x:c r="K113" s="26" t="n">
        <x:f>MIN(E113,I113)</x:f>
        <x:v>-1.492036453724107</x:v>
      </x:c>
      <x:c r="P113" s="26" t="n">
        <x:v>54.5</x:v>
      </x:c>
      <x:c r="Q113" s="26" t="n">
        <x:v>1.6593186870081469</x:v>
      </x:c>
      <x:c r="R113" s="26" t="n">
        <x:v>-1.492036453724107</x:v>
      </x:c>
      <x:c r="S113" s="26" t="n">
        <x:v>1.6593186870081469</x:v>
      </x:c>
      <x:c r="T113" s="26" t="n">
        <x:v>-1.492036453724107</x:v>
      </x:c>
      <x:c r="U113" s="26" t="n">
        <x:v>3.657253641084063</x:v>
      </x:c>
      <x:c r="V113" s="26" t="n">
        <x:v>-1.657253641084063</x:v>
      </x:c>
    </x:row>
    <x:row r="114">
      <x:c r="A114" s="26" t="n">
        <x:v>55</x:v>
      </x:c>
      <x:c r="B114" s="26" t="n">
        <x:f>(A114/$N$3)^2</x:f>
        <x:v>1.6899045629827945</x:v>
      </x:c>
      <x:c r="C114" s="26" t="n">
        <x:f>0-(A114/$N$4)^2</x:f>
        <x:v>-1.5195388511120018</x:v>
      </x:c>
      <x:c r="D114" s="26" t="n">
        <x:f>MIN(B114,$N$5)</x:f>
        <x:v>1.6899045629827945</x:v>
      </x:c>
      <x:c r="E114" s="26" t="n">
        <x:f>IF(A114&lt;=$N$7,MAX(C114,$N$6),MAX(C114,$N$6*($N$8-A114)/($N$8-$N$7)))</x:f>
        <x:v>-1.5195388511120018</x:v>
      </x:c>
      <x:c r="F114" s="26" t="n">
        <x:f>IF(A114&lt;=$N$7,1+$N$9*A114/$N$7,$N$10+(A114-$N$7)*($N$12-$N$10)/($N$8-$N$7))</x:f>
        <x:v>3.6816321148554763</x:v>
      </x:c>
      <x:c r="G114" s="26" t="n">
        <x:f>IF(A114&lt;=$N$7,1-$N$9*A114/$N$7,$N$11+(A114-$N$7)*($N$13-$N$11)/($N$8-$N$7))</x:f>
        <x:v>-1.6816321148554763</x:v>
      </x:c>
      <x:c r="H114" s="26" t="n">
        <x:f>MIN(F114,B114)</x:f>
        <x:v>1.6899045629827945</x:v>
      </x:c>
      <x:c r="I114" s="26" t="n">
        <x:f>MAX(G114,C114)</x:f>
        <x:v>-1.5195388511120018</x:v>
      </x:c>
      <x:c r="J114" s="26" t="n">
        <x:f>MAX(D114,H114)</x:f>
        <x:v>1.6899045629827945</x:v>
      </x:c>
      <x:c r="K114" s="26" t="n">
        <x:f>MIN(E114,I114)</x:f>
        <x:v>-1.5195388511120018</x:v>
      </x:c>
      <x:c r="P114" s="26" t="n">
        <x:v>55</x:v>
      </x:c>
      <x:c r="Q114" s="26" t="n">
        <x:v>1.6899045629827945</x:v>
      </x:c>
      <x:c r="R114" s="26" t="n">
        <x:v>-1.5195388511120018</x:v>
      </x:c>
      <x:c r="S114" s="26" t="n">
        <x:v>1.6899045629827945</x:v>
      </x:c>
      <x:c r="T114" s="26" t="n">
        <x:v>-1.5195388511120018</x:v>
      </x:c>
      <x:c r="U114" s="26" t="n">
        <x:v>3.6816321148554767</x:v>
      </x:c>
      <x:c r="V114" s="26" t="n">
        <x:v>-1.6816321148554767</x:v>
      </x:c>
    </x:row>
    <x:row r="115">
      <x:c r="A115" s="26" t="n">
        <x:v>55.5</x:v>
      </x:c>
      <x:c r="B115" s="26" t="n">
        <x:f>(A115/$N$3)^2</x:f>
        <x:v>1.720769762025703</x:v>
      </x:c>
      <x:c r="C115" s="26" t="n">
        <x:f>0-(A115/$N$4)^2</x:f>
        <x:v>-1.5472924119463614</x:v>
      </x:c>
      <x:c r="D115" s="26" t="n">
        <x:f>MIN(B115,$N$5)</x:f>
        <x:v>1.720769762025703</x:v>
      </x:c>
      <x:c r="E115" s="26" t="n">
        <x:f>IF(A115&lt;=$N$7,MAX(C115,$N$6),MAX(C115,$N$6*($N$8-A115)/($N$8-$N$7)))</x:f>
        <x:v>-1.52</x:v>
      </x:c>
      <x:c r="F115" s="26" t="n">
        <x:f>IF(A115&lt;=$N$7,1+$N$9*A115/$N$7,$N$10+(A115-$N$7)*($N$12-$N$10)/($N$8-$N$7))</x:f>
        <x:v>3.70601058862689</x:v>
      </x:c>
      <x:c r="G115" s="26" t="n">
        <x:f>IF(A115&lt;=$N$7,1-$N$9*A115/$N$7,$N$11+(A115-$N$7)*($N$13-$N$11)/($N$8-$N$7))</x:f>
        <x:v>-1.70601058862689</x:v>
      </x:c>
      <x:c r="H115" s="26" t="n">
        <x:f>MIN(F115,B115)</x:f>
        <x:v>1.720769762025703</x:v>
      </x:c>
      <x:c r="I115" s="26" t="n">
        <x:f>MAX(G115,C115)</x:f>
        <x:v>-1.5472924119463614</x:v>
      </x:c>
      <x:c r="J115" s="26" t="n">
        <x:f>MAX(D115,H115)</x:f>
        <x:v>1.720769762025703</x:v>
      </x:c>
      <x:c r="K115" s="26" t="n">
        <x:f>MIN(E115,I115)</x:f>
        <x:v>-1.5472924119463614</x:v>
      </x:c>
      <x:c r="P115" s="26" t="n">
        <x:v>55.5</x:v>
      </x:c>
      <x:c r="Q115" s="26" t="n">
        <x:v>1.720769762025703</x:v>
      </x:c>
      <x:c r="R115" s="26" t="n">
        <x:v>-1.5472924119463614</x:v>
      </x:c>
      <x:c r="S115" s="26" t="n">
        <x:v>1.720769762025703</x:v>
      </x:c>
      <x:c r="T115" s="26" t="n">
        <x:v>-1.52</x:v>
      </x:c>
      <x:c r="U115" s="26" t="n">
        <x:v>3.70601058862689</x:v>
      </x:c>
      <x:c r="V115" s="26" t="n">
        <x:v>-1.70601058862689</x:v>
      </x:c>
    </x:row>
    <x:row r="116">
      <x:c r="A116" s="26" t="n">
        <x:v>56</x:v>
      </x:c>
      <x:c r="B116" s="26" t="n">
        <x:f>(A116/$N$3)^2</x:f>
        <x:v>1.7519142841368738</x:v>
      </x:c>
      <x:c r="C116" s="26" t="n">
        <x:f>0-(A116/$N$4)^2</x:f>
        <x:v>-1.5752971362271861</x:v>
      </x:c>
      <x:c r="D116" s="26" t="n">
        <x:f>MIN(B116,$N$5)</x:f>
        <x:v>1.7519142841368738</x:v>
      </x:c>
      <x:c r="E116" s="26" t="n">
        <x:f>IF(A116&lt;=$N$7,MAX(C116,$N$6),MAX(C116,$N$6*($N$8-A116)/($N$8-$N$7)))</x:f>
        <x:v>-1.52</x:v>
      </x:c>
      <x:c r="F116" s="26" t="n">
        <x:f>IF(A116&lt;=$N$7,1+$N$9*A116/$N$7,$N$10+(A116-$N$7)*($N$12-$N$10)/($N$8-$N$7))</x:f>
        <x:v>3.7303890623983036</x:v>
      </x:c>
      <x:c r="G116" s="26" t="n">
        <x:f>IF(A116&lt;=$N$7,1-$N$9*A116/$N$7,$N$11+(A116-$N$7)*($N$13-$N$11)/($N$8-$N$7))</x:f>
        <x:v>-1.7303890623983036</x:v>
      </x:c>
      <x:c r="H116" s="26" t="n">
        <x:f>MIN(F116,B116)</x:f>
        <x:v>1.7519142841368738</x:v>
      </x:c>
      <x:c r="I116" s="26" t="n">
        <x:f>MAX(G116,C116)</x:f>
        <x:v>-1.5752971362271861</x:v>
      </x:c>
      <x:c r="J116" s="26" t="n">
        <x:f>MAX(D116,H116)</x:f>
        <x:v>1.7519142841368738</x:v>
      </x:c>
      <x:c r="K116" s="26" t="n">
        <x:f>MIN(E116,I116)</x:f>
        <x:v>-1.5752971362271861</x:v>
      </x:c>
      <x:c r="P116" s="26" t="n">
        <x:v>56</x:v>
      </x:c>
      <x:c r="Q116" s="26" t="n">
        <x:v>1.7519142841368738</x:v>
      </x:c>
      <x:c r="R116" s="26" t="n">
        <x:v>-1.5752971362271861</x:v>
      </x:c>
      <x:c r="S116" s="26" t="n">
        <x:v>1.7519142841368738</x:v>
      </x:c>
      <x:c r="T116" s="26" t="n">
        <x:v>-1.52</x:v>
      </x:c>
      <x:c r="U116" s="26" t="n">
        <x:v>3.7303890623983036</x:v>
      </x:c>
      <x:c r="V116" s="26" t="n">
        <x:v>-1.7303890623983036</x:v>
      </x:c>
    </x:row>
    <x:row r="117">
      <x:c r="A117" s="26" t="n">
        <x:v>56.5</x:v>
      </x:c>
      <x:c r="B117" s="26" t="n">
        <x:f>(A117/$N$3)^2</x:f>
        <x:v>1.7833381293163055</x:v>
      </x:c>
      <x:c r="C117" s="26" t="n">
        <x:f>0-(A117/$N$4)^2</x:f>
        <x:v>-1.603553023954475</x:v>
      </x:c>
      <x:c r="D117" s="26" t="n">
        <x:f>MIN(B117,$N$5)</x:f>
        <x:v>1.7833381293163055</x:v>
      </x:c>
      <x:c r="E117" s="26" t="n">
        <x:f>IF(A117&lt;=$N$7,MAX(C117,$N$6),MAX(C117,$N$6*($N$8-A117)/($N$8-$N$7)))</x:f>
        <x:v>-1.52</x:v>
      </x:c>
      <x:c r="F117" s="26" t="n">
        <x:f>IF(A117&lt;=$N$7,1+$N$9*A117/$N$7,$N$10+(A117-$N$7)*($N$12-$N$10)/($N$8-$N$7))</x:f>
        <x:v>3.754767536169717</x:v>
      </x:c>
      <x:c r="G117" s="26" t="n">
        <x:f>IF(A117&lt;=$N$7,1-$N$9*A117/$N$7,$N$11+(A117-$N$7)*($N$13-$N$11)/($N$8-$N$7))</x:f>
        <x:v>-1.7547675361697168</x:v>
      </x:c>
      <x:c r="H117" s="26" t="n">
        <x:f>MIN(F117,B117)</x:f>
        <x:v>1.7833381293163055</x:v>
      </x:c>
      <x:c r="I117" s="26" t="n">
        <x:f>MAX(G117,C117)</x:f>
        <x:v>-1.603553023954475</x:v>
      </x:c>
      <x:c r="J117" s="26" t="n">
        <x:f>MAX(D117,H117)</x:f>
        <x:v>1.7833381293163055</x:v>
      </x:c>
      <x:c r="K117" s="26" t="n">
        <x:f>MIN(E117,I117)</x:f>
        <x:v>-1.603553023954475</x:v>
      </x:c>
      <x:c r="P117" s="26" t="n">
        <x:v>56.5</x:v>
      </x:c>
      <x:c r="Q117" s="26" t="n">
        <x:v>1.7833381293163055</x:v>
      </x:c>
      <x:c r="R117" s="26" t="n">
        <x:v>-1.603553023954475</x:v>
      </x:c>
      <x:c r="S117" s="26" t="n">
        <x:v>1.7833381293163055</x:v>
      </x:c>
      <x:c r="T117" s="26" t="n">
        <x:v>-1.52</x:v>
      </x:c>
      <x:c r="U117" s="26" t="n">
        <x:v>3.754767536169717</x:v>
      </x:c>
      <x:c r="V117" s="26" t="n">
        <x:v>-1.7547675361697168</x:v>
      </x:c>
    </x:row>
    <x:row r="118">
      <x:c r="A118" s="26" t="n">
        <x:v>57</x:v>
      </x:c>
      <x:c r="B118" s="26" t="n">
        <x:f>(A118/$N$3)^2</x:f>
        <x:v>1.8150412975639993</x:v>
      </x:c>
      <x:c r="C118" s="26" t="n">
        <x:f>0-(A118/$N$4)^2</x:f>
        <x:v>-1.6320600751282295</x:v>
      </x:c>
      <x:c r="D118" s="26" t="n">
        <x:f>MIN(B118,$N$5)</x:f>
        <x:v>1.8150412975639993</x:v>
      </x:c>
      <x:c r="E118" s="26" t="n">
        <x:f>IF(A118&lt;=$N$7,MAX(C118,$N$6),MAX(C118,$N$6*($N$8-A118)/($N$8-$N$7)))</x:f>
        <x:v>-1.52</x:v>
      </x:c>
      <x:c r="F118" s="26" t="n">
        <x:f>IF(A118&lt;=$N$7,1+$N$9*A118/$N$7,$N$10+(A118-$N$7)*($N$12-$N$10)/($N$8-$N$7))</x:f>
        <x:v>3.7791460099411305</x:v>
      </x:c>
      <x:c r="G118" s="26" t="n">
        <x:f>IF(A118&lt;=$N$7,1-$N$9*A118/$N$7,$N$11+(A118-$N$7)*($N$13-$N$11)/($N$8-$N$7))</x:f>
        <x:v>-1.7791460099411305</x:v>
      </x:c>
      <x:c r="H118" s="26" t="n">
        <x:f>MIN(F118,B118)</x:f>
        <x:v>1.8150412975639993</x:v>
      </x:c>
      <x:c r="I118" s="26" t="n">
        <x:f>MAX(G118,C118)</x:f>
        <x:v>-1.6320600751282295</x:v>
      </x:c>
      <x:c r="J118" s="26" t="n">
        <x:f>MAX(D118,H118)</x:f>
        <x:v>1.8150412975639993</x:v>
      </x:c>
      <x:c r="K118" s="26" t="n">
        <x:f>MIN(E118,I118)</x:f>
        <x:v>-1.6320600751282295</x:v>
      </x:c>
      <x:c r="P118" s="26" t="n">
        <x:v>57</x:v>
      </x:c>
      <x:c r="Q118" s="26" t="n">
        <x:v>1.8150412975639993</x:v>
      </x:c>
      <x:c r="R118" s="26" t="n">
        <x:v>-1.6320600751282295</x:v>
      </x:c>
      <x:c r="S118" s="26" t="n">
        <x:v>1.8150412975639993</x:v>
      </x:c>
      <x:c r="T118" s="26" t="n">
        <x:v>-1.52</x:v>
      </x:c>
      <x:c r="U118" s="26" t="n">
        <x:v>3.7791460099411305</x:v>
      </x:c>
      <x:c r="V118" s="26" t="n">
        <x:v>-1.7791460099411305</x:v>
      </x:c>
    </x:row>
    <x:row r="119">
      <x:c r="A119" s="26" t="n">
        <x:v>57.5</x:v>
      </x:c>
      <x:c r="B119" s="26" t="n">
        <x:f>(A119/$N$3)^2</x:f>
        <x:v>1.847023788879955</x:v>
      </x:c>
      <x:c r="C119" s="26" t="n">
        <x:f>0-(A119/$N$4)^2</x:f>
        <x:v>-1.6608182897484483</x:v>
      </x:c>
      <x:c r="D119" s="26" t="n">
        <x:f>MIN(B119,$N$5)</x:f>
        <x:v>1.847023788879955</x:v>
      </x:c>
      <x:c r="E119" s="26" t="n">
        <x:f>IF(A119&lt;=$N$7,MAX(C119,$N$6),MAX(C119,$N$6*($N$8-A119)/($N$8-$N$7)))</x:f>
        <x:v>-1.52</x:v>
      </x:c>
      <x:c r="F119" s="26" t="n">
        <x:f>IF(A119&lt;=$N$7,1+$N$9*A119/$N$7,$N$10+(A119-$N$7)*($N$12-$N$10)/($N$8-$N$7))</x:f>
        <x:v>3.8035244837125437</x:v>
      </x:c>
      <x:c r="G119" s="26" t="n">
        <x:f>IF(A119&lt;=$N$7,1-$N$9*A119/$N$7,$N$11+(A119-$N$7)*($N$13-$N$11)/($N$8-$N$7))</x:f>
        <x:v>-1.8035244837125437</x:v>
      </x:c>
      <x:c r="H119" s="26" t="n">
        <x:f>MIN(F119,B119)</x:f>
        <x:v>1.847023788879955</x:v>
      </x:c>
      <x:c r="I119" s="26" t="n">
        <x:f>MAX(G119,C119)</x:f>
        <x:v>-1.6608182897484483</x:v>
      </x:c>
      <x:c r="J119" s="26" t="n">
        <x:f>MAX(D119,H119)</x:f>
        <x:v>1.847023788879955</x:v>
      </x:c>
      <x:c r="K119" s="26" t="n">
        <x:f>MIN(E119,I119)</x:f>
        <x:v>-1.6608182897484483</x:v>
      </x:c>
      <x:c r="P119" s="26" t="n">
        <x:v>57.5</x:v>
      </x:c>
      <x:c r="Q119" s="26" t="n">
        <x:v>1.847023788879955</x:v>
      </x:c>
      <x:c r="R119" s="26" t="n">
        <x:v>-1.6608182897484483</x:v>
      </x:c>
      <x:c r="S119" s="26" t="n">
        <x:v>1.847023788879955</x:v>
      </x:c>
      <x:c r="T119" s="26" t="n">
        <x:v>-1.52</x:v>
      </x:c>
      <x:c r="U119" s="26" t="n">
        <x:v>3.8035244837125437</x:v>
      </x:c>
      <x:c r="V119" s="26" t="n">
        <x:v>-1.8035244837125437</x:v>
      </x:c>
    </x:row>
    <x:row r="120">
      <x:c r="A120" s="26" t="n">
        <x:v>58</x:v>
      </x:c>
      <x:c r="B120" s="26" t="n">
        <x:f>(A120/$N$3)^2</x:f>
        <x:v>1.8792856032641716</x:v>
      </x:c>
      <x:c r="C120" s="26" t="n">
        <x:f>0-(A120/$N$4)^2</x:f>
        <x:v>-1.689827667815132</x:v>
      </x:c>
      <x:c r="D120" s="26" t="n">
        <x:f>MIN(B120,$N$5)</x:f>
        <x:v>1.8792856032641716</x:v>
      </x:c>
      <x:c r="E120" s="26" t="n">
        <x:f>IF(A120&lt;=$N$7,MAX(C120,$N$6),MAX(C120,$N$6*($N$8-A120)/($N$8-$N$7)))</x:f>
        <x:v>-1.52</x:v>
      </x:c>
      <x:c r="F120" s="26" t="n">
        <x:f>IF(A120&lt;=$N$7,1+$N$9*A120/$N$7,$N$10+(A120-$N$7)*($N$12-$N$10)/($N$8-$N$7))</x:f>
        <x:v>3.827902957483957</x:v>
      </x:c>
      <x:c r="G120" s="26" t="n">
        <x:f>IF(A120&lt;=$N$7,1-$N$9*A120/$N$7,$N$11+(A120-$N$7)*($N$13-$N$11)/($N$8-$N$7))</x:f>
        <x:v>-1.827902957483957</x:v>
      </x:c>
      <x:c r="H120" s="26" t="n">
        <x:f>MIN(F120,B120)</x:f>
        <x:v>1.8792856032641716</x:v>
      </x:c>
      <x:c r="I120" s="26" t="n">
        <x:f>MAX(G120,C120)</x:f>
        <x:v>-1.689827667815132</x:v>
      </x:c>
      <x:c r="J120" s="26" t="n">
        <x:f>MAX(D120,H120)</x:f>
        <x:v>1.8792856032641716</x:v>
      </x:c>
      <x:c r="K120" s="26" t="n">
        <x:f>MIN(E120,I120)</x:f>
        <x:v>-1.689827667815132</x:v>
      </x:c>
      <x:c r="P120" s="26" t="n">
        <x:v>58</x:v>
      </x:c>
      <x:c r="Q120" s="26" t="n">
        <x:v>1.8792856032641716</x:v>
      </x:c>
      <x:c r="R120" s="26" t="n">
        <x:v>-1.689827667815132</x:v>
      </x:c>
      <x:c r="S120" s="26" t="n">
        <x:v>1.8792856032641716</x:v>
      </x:c>
      <x:c r="T120" s="26" t="n">
        <x:v>-1.52</x:v>
      </x:c>
      <x:c r="U120" s="26" t="n">
        <x:v>3.8279029574839574</x:v>
      </x:c>
      <x:c r="V120" s="26" t="n">
        <x:v>-1.8279029574839574</x:v>
      </x:c>
    </x:row>
    <x:row r="121">
      <x:c r="A121" s="26" t="n">
        <x:v>58.5</x:v>
      </x:c>
      <x:c r="B121" s="26" t="n">
        <x:f>(A121/$N$3)^2</x:f>
        <x:v>1.9118267407166505</x:v>
      </x:c>
      <x:c r="C121" s="26" t="n">
        <x:f>0-(A121/$N$4)^2</x:f>
        <x:v>-1.7190882093282804</x:v>
      </x:c>
      <x:c r="D121" s="26" t="n">
        <x:f>MIN(B121,$N$5)</x:f>
        <x:v>1.9118267407166505</x:v>
      </x:c>
      <x:c r="E121" s="26" t="n">
        <x:f>IF(A121&lt;=$N$7,MAX(C121,$N$6),MAX(C121,$N$6*($N$8-A121)/($N$8-$N$7)))</x:f>
        <x:v>-1.52</x:v>
      </x:c>
      <x:c r="F121" s="26" t="n">
        <x:f>IF(A121&lt;=$N$7,1+$N$9*A121/$N$7,$N$10+(A121-$N$7)*($N$12-$N$10)/($N$8-$N$7))</x:f>
        <x:v>3.8522814312553706</x:v>
      </x:c>
      <x:c r="G121" s="26" t="n">
        <x:f>IF(A121&lt;=$N$7,1-$N$9*A121/$N$7,$N$11+(A121-$N$7)*($N$13-$N$11)/($N$8-$N$7))</x:f>
        <x:v>-1.8522814312553706</x:v>
      </x:c>
      <x:c r="H121" s="26" t="n">
        <x:f>MIN(F121,B121)</x:f>
        <x:v>1.9118267407166505</x:v>
      </x:c>
      <x:c r="I121" s="26" t="n">
        <x:f>MAX(G121,C121)</x:f>
        <x:v>-1.7190882093282804</x:v>
      </x:c>
      <x:c r="J121" s="26" t="n">
        <x:f>MAX(D121,H121)</x:f>
        <x:v>1.9118267407166505</x:v>
      </x:c>
      <x:c r="K121" s="26" t="n">
        <x:f>MIN(E121,I121)</x:f>
        <x:v>-1.7190882093282804</x:v>
      </x:c>
      <x:c r="P121" s="26" t="n">
        <x:v>58.5</x:v>
      </x:c>
      <x:c r="Q121" s="26" t="n">
        <x:v>1.9118267407166505</x:v>
      </x:c>
      <x:c r="R121" s="26" t="n">
        <x:v>-1.7190882093282804</x:v>
      </x:c>
      <x:c r="S121" s="26" t="n">
        <x:v>1.9118267407166505</x:v>
      </x:c>
      <x:c r="T121" s="26" t="n">
        <x:v>-1.52</x:v>
      </x:c>
      <x:c r="U121" s="26" t="n">
        <x:v>3.8522814312553706</x:v>
      </x:c>
      <x:c r="V121" s="26" t="n">
        <x:v>-1.8522814312553706</x:v>
      </x:c>
    </x:row>
    <x:row r="122">
      <x:c r="A122" s="26" t="n">
        <x:v>59</x:v>
      </x:c>
      <x:c r="B122" s="26" t="n">
        <x:f>(A122/$N$3)^2</x:f>
        <x:v>1.9446472012373903</x:v>
      </x:c>
      <x:c r="C122" s="26" t="n">
        <x:f>0-(A122/$N$4)^2</x:f>
        <x:v>-1.7485999142878939</x:v>
      </x:c>
      <x:c r="D122" s="26" t="n">
        <x:f>MIN(B122,$N$5)</x:f>
        <x:v>1.9446472012373903</x:v>
      </x:c>
      <x:c r="E122" s="26" t="n">
        <x:f>IF(A122&lt;=$N$7,MAX(C122,$N$6),MAX(C122,$N$6*($N$8-A122)/($N$8-$N$7)))</x:f>
        <x:v>-1.52</x:v>
      </x:c>
      <x:c r="F122" s="26" t="n">
        <x:f>IF(A122&lt;=$N$7,1+$N$9*A122/$N$7,$N$10+(A122-$N$7)*($N$12-$N$10)/($N$8-$N$7))</x:f>
        <x:v>3.876659905026784</x:v>
      </x:c>
      <x:c r="G122" s="26" t="n">
        <x:f>IF(A122&lt;=$N$7,1-$N$9*A122/$N$7,$N$11+(A122-$N$7)*($N$13-$N$11)/($N$8-$N$7))</x:f>
        <x:v>-1.8766599050267838</x:v>
      </x:c>
      <x:c r="H122" s="26" t="n">
        <x:f>MIN(F122,B122)</x:f>
        <x:v>1.9446472012373903</x:v>
      </x:c>
      <x:c r="I122" s="26" t="n">
        <x:f>MAX(G122,C122)</x:f>
        <x:v>-1.7485999142878939</x:v>
      </x:c>
      <x:c r="J122" s="26" t="n">
        <x:f>MAX(D122,H122)</x:f>
        <x:v>1.9446472012373903</x:v>
      </x:c>
      <x:c r="K122" s="26" t="n">
        <x:f>MIN(E122,I122)</x:f>
        <x:v>-1.7485999142878939</x:v>
      </x:c>
      <x:c r="P122" s="26" t="n">
        <x:v>59</x:v>
      </x:c>
      <x:c r="Q122" s="26" t="n">
        <x:v>1.9446472012373903</x:v>
      </x:c>
      <x:c r="R122" s="26" t="n">
        <x:v>-1.7485999142878939</x:v>
      </x:c>
      <x:c r="S122" s="26" t="n">
        <x:v>1.9446472012373903</x:v>
      </x:c>
      <x:c r="T122" s="26" t="n">
        <x:v>-1.52</x:v>
      </x:c>
      <x:c r="U122" s="26" t="n">
        <x:v>3.876659905026784</x:v>
      </x:c>
      <x:c r="V122" s="26" t="n">
        <x:v>-1.8766599050267838</x:v>
      </x:c>
    </x:row>
    <x:row r="123">
      <x:c r="A123" s="26" t="n">
        <x:v>59.5</x:v>
      </x:c>
      <x:c r="B123" s="26" t="n">
        <x:f>(A123/$N$3)^2</x:f>
        <x:v>1.9777469848263924</x:v>
      </x:c>
      <x:c r="C123" s="26" t="n">
        <x:f>0-(A123/$N$4)^2</x:f>
        <x:v>-1.7783627826939716</x:v>
      </x:c>
      <x:c r="D123" s="26" t="n">
        <x:f>MIN(B123,$N$5)</x:f>
        <x:v>1.9777469848263924</x:v>
      </x:c>
      <x:c r="E123" s="26" t="n">
        <x:f>IF(A123&lt;=$N$7,MAX(C123,$N$6),MAX(C123,$N$6*($N$8-A123)/($N$8-$N$7)))</x:f>
        <x:v>-1.52</x:v>
      </x:c>
      <x:c r="F123" s="26" t="n">
        <x:f>IF(A123&lt;=$N$7,1+$N$9*A123/$N$7,$N$10+(A123-$N$7)*($N$12-$N$10)/($N$8-$N$7))</x:f>
        <x:v>3.9010383787981975</x:v>
      </x:c>
      <x:c r="G123" s="26" t="n">
        <x:f>IF(A123&lt;=$N$7,1-$N$9*A123/$N$7,$N$11+(A123-$N$7)*($N$13-$N$11)/($N$8-$N$7))</x:f>
        <x:v>-1.9010383787981975</x:v>
      </x:c>
      <x:c r="H123" s="26" t="n">
        <x:f>MIN(F123,B123)</x:f>
        <x:v>1.9777469848263924</x:v>
      </x:c>
      <x:c r="I123" s="26" t="n">
        <x:f>MAX(G123,C123)</x:f>
        <x:v>-1.7783627826939716</x:v>
      </x:c>
      <x:c r="J123" s="26" t="n">
        <x:f>MAX(D123,H123)</x:f>
        <x:v>1.9777469848263924</x:v>
      </x:c>
      <x:c r="K123" s="26" t="n">
        <x:f>MIN(E123,I123)</x:f>
        <x:v>-1.7783627826939716</x:v>
      </x:c>
      <x:c r="P123" s="26" t="n">
        <x:v>59.5</x:v>
      </x:c>
      <x:c r="Q123" s="26" t="n">
        <x:v>1.9777469848263924</x:v>
      </x:c>
      <x:c r="R123" s="26" t="n">
        <x:v>-1.7783627826939716</x:v>
      </x:c>
      <x:c r="S123" s="26" t="n">
        <x:v>1.9777469848263924</x:v>
      </x:c>
      <x:c r="T123" s="26" t="n">
        <x:v>-1.52</x:v>
      </x:c>
      <x:c r="U123" s="26" t="n">
        <x:v>3.9010383787981975</x:v>
      </x:c>
      <x:c r="V123" s="26" t="n">
        <x:v>-1.9010383787981975</x:v>
      </x:c>
    </x:row>
    <x:row r="124">
      <x:c r="A124" s="26" t="n">
        <x:v>60</x:v>
      </x:c>
      <x:c r="B124" s="26" t="n">
        <x:f>(A124/$N$3)^2</x:f>
        <x:v>2.011126091483656</x:v>
      </x:c>
      <x:c r="C124" s="26" t="n">
        <x:f>0-(A124/$N$4)^2</x:f>
        <x:v>-1.8083768145465142</x:v>
      </x:c>
      <x:c r="D124" s="26" t="n">
        <x:f>MIN(B124,$N$5)</x:f>
        <x:v>2.011126091483656</x:v>
      </x:c>
      <x:c r="E124" s="26" t="n">
        <x:f>IF(A124&lt;=$N$7,MAX(C124,$N$6),MAX(C124,$N$6*($N$8-A124)/($N$8-$N$7)))</x:f>
        <x:v>-1.52</x:v>
      </x:c>
      <x:c r="F124" s="26" t="n">
        <x:f>IF(A124&lt;=$N$7,1+$N$9*A124/$N$7,$N$10+(A124-$N$7)*($N$12-$N$10)/($N$8-$N$7))</x:f>
        <x:v>3.925416852569611</x:v>
      </x:c>
      <x:c r="G124" s="26" t="n">
        <x:f>IF(A124&lt;=$N$7,1-$N$9*A124/$N$7,$N$11+(A124-$N$7)*($N$13-$N$11)/($N$8-$N$7))</x:f>
        <x:v>-1.9254168525696111</x:v>
      </x:c>
      <x:c r="H124" s="26" t="n">
        <x:f>MIN(F124,B124)</x:f>
        <x:v>2.011126091483656</x:v>
      </x:c>
      <x:c r="I124" s="26" t="n">
        <x:f>MAX(G124,C124)</x:f>
        <x:v>-1.8083768145465142</x:v>
      </x:c>
      <x:c r="J124" s="26" t="n">
        <x:f>MAX(D124,H124)</x:f>
        <x:v>2.011126091483656</x:v>
      </x:c>
      <x:c r="K124" s="26" t="n">
        <x:f>MIN(E124,I124)</x:f>
        <x:v>-1.8083768145465142</x:v>
      </x:c>
      <x:c r="P124" s="26" t="n">
        <x:v>60</x:v>
      </x:c>
      <x:c r="Q124" s="26" t="n">
        <x:v>2.011126091483656</x:v>
      </x:c>
      <x:c r="R124" s="26" t="n">
        <x:v>-1.8083768145465142</x:v>
      </x:c>
      <x:c r="S124" s="26" t="n">
        <x:v>2.011126091483656</x:v>
      </x:c>
      <x:c r="T124" s="26" t="n">
        <x:v>-1.52</x:v>
      </x:c>
      <x:c r="U124" s="26" t="n">
        <x:v>3.9254168525696107</x:v>
      </x:c>
      <x:c r="V124" s="26" t="n">
        <x:v>-1.9254168525696107</x:v>
      </x:c>
    </x:row>
    <x:row r="125">
      <x:c r="A125" s="26" t="n">
        <x:v>60.5</x:v>
      </x:c>
      <x:c r="B125" s="26" t="n">
        <x:f>(A125/$N$3)^2</x:f>
        <x:v>2.0447845212091806</x:v>
      </x:c>
      <x:c r="C125" s="26" t="n">
        <x:f>0-(A125/$N$4)^2</x:f>
        <x:v>-1.8386420098455223</x:v>
      </x:c>
      <x:c r="D125" s="26" t="n">
        <x:f>MIN(B125,$N$5)</x:f>
        <x:v>2.0447845212091806</x:v>
      </x:c>
      <x:c r="E125" s="26" t="n">
        <x:f>IF(A125&lt;=$N$7,MAX(C125,$N$6),MAX(C125,$N$6*($N$8-A125)/($N$8-$N$7)))</x:f>
        <x:v>-1.52</x:v>
      </x:c>
      <x:c r="F125" s="26" t="n">
        <x:f>IF(A125&lt;=$N$7,1+$N$9*A125/$N$7,$N$10+(A125-$N$7)*($N$12-$N$10)/($N$8-$N$7))</x:f>
        <x:v>3.949795326341024</x:v>
      </x:c>
      <x:c r="G125" s="26" t="n">
        <x:f>IF(A125&lt;=$N$7,1-$N$9*A125/$N$7,$N$11+(A125-$N$7)*($N$13-$N$11)/($N$8-$N$7))</x:f>
        <x:v>-1.949795326341024</x:v>
      </x:c>
      <x:c r="H125" s="26" t="n">
        <x:f>MIN(F125,B125)</x:f>
        <x:v>2.0447845212091806</x:v>
      </x:c>
      <x:c r="I125" s="26" t="n">
        <x:f>MAX(G125,C125)</x:f>
        <x:v>-1.8386420098455223</x:v>
      </x:c>
      <x:c r="J125" s="26" t="n">
        <x:f>MAX(D125,H125)</x:f>
        <x:v>2.0447845212091806</x:v>
      </x:c>
      <x:c r="K125" s="26" t="n">
        <x:f>MIN(E125,I125)</x:f>
        <x:v>-1.8386420098455223</x:v>
      </x:c>
      <x:c r="P125" s="26" t="n">
        <x:v>60.5</x:v>
      </x:c>
      <x:c r="Q125" s="26" t="n">
        <x:v>2.0447845212091806</x:v>
      </x:c>
      <x:c r="R125" s="26" t="n">
        <x:v>-1.8386420098455223</x:v>
      </x:c>
      <x:c r="S125" s="26" t="n">
        <x:v>2.0447845212091806</x:v>
      </x:c>
      <x:c r="T125" s="26" t="n">
        <x:v>-1.52</x:v>
      </x:c>
      <x:c r="U125" s="26" t="n">
        <x:v>3.9497953263410244</x:v>
      </x:c>
      <x:c r="V125" s="26" t="n">
        <x:v>-1.9497953263410244</x:v>
      </x:c>
    </x:row>
    <x:row r="126">
      <x:c r="A126" s="26" t="n">
        <x:v>61</x:v>
      </x:c>
      <x:c r="B126" s="26" t="n">
        <x:f>(A126/$N$3)^2</x:f>
        <x:v>2.078722274002968</x:v>
      </x:c>
      <x:c r="C126" s="26" t="n">
        <x:f>0-(A126/$N$4)^2</x:f>
        <x:v>-1.8691583685909945</x:v>
      </x:c>
      <x:c r="D126" s="26" t="n">
        <x:f>MIN(B126,$N$5)</x:f>
        <x:v>2.078722274002968</x:v>
      </x:c>
      <x:c r="E126" s="26" t="n">
        <x:f>IF(A126&lt;=$N$7,MAX(C126,$N$6),MAX(C126,$N$6*($N$8-A126)/($N$8-$N$7)))</x:f>
        <x:v>-1.52</x:v>
      </x:c>
      <x:c r="F126" s="26" t="n">
        <x:f>IF(A126&lt;=$N$7,1+$N$9*A126/$N$7,$N$10+(A126-$N$7)*($N$12-$N$10)/($N$8-$N$7))</x:f>
        <x:v>3.9741738001124376</x:v>
      </x:c>
      <x:c r="G126" s="26" t="n">
        <x:f>IF(A126&lt;=$N$7,1-$N$9*A126/$N$7,$N$11+(A126-$N$7)*($N$13-$N$11)/($N$8-$N$7))</x:f>
        <x:v>-1.9741738001124376</x:v>
      </x:c>
      <x:c r="H126" s="26" t="n">
        <x:f>MIN(F126,B126)</x:f>
        <x:v>2.078722274002968</x:v>
      </x:c>
      <x:c r="I126" s="26" t="n">
        <x:f>MAX(G126,C126)</x:f>
        <x:v>-1.8691583685909945</x:v>
      </x:c>
      <x:c r="J126" s="26" t="n">
        <x:f>MAX(D126,H126)</x:f>
        <x:v>2.078722274002968</x:v>
      </x:c>
      <x:c r="K126" s="26" t="n">
        <x:f>MIN(E126,I126)</x:f>
        <x:v>-1.8691583685909945</x:v>
      </x:c>
      <x:c r="P126" s="26" t="n">
        <x:v>61</x:v>
      </x:c>
      <x:c r="Q126" s="26" t="n">
        <x:v>2.078722274002968</x:v>
      </x:c>
      <x:c r="R126" s="26" t="n">
        <x:v>-1.8691583685909945</x:v>
      </x:c>
      <x:c r="S126" s="26" t="n">
        <x:v>2.078722274002968</x:v>
      </x:c>
      <x:c r="T126" s="26" t="n">
        <x:v>-1.52</x:v>
      </x:c>
      <x:c r="U126" s="26" t="n">
        <x:v>3.9741738001124376</x:v>
      </x:c>
      <x:c r="V126" s="26" t="n">
        <x:v>-1.9741738001124376</x:v>
      </x:c>
    </x:row>
    <x:row r="127">
      <x:c r="A127" s="26" t="n">
        <x:v>61.5</x:v>
      </x:c>
      <x:c r="B127" s="26" t="n">
        <x:f>(A127/$N$3)^2</x:f>
        <x:v>2.1129393498650155</x:v>
      </x:c>
      <x:c r="C127" s="26" t="n">
        <x:f>0-(A127/$N$4)^2</x:f>
        <x:v>-1.899925890782932</x:v>
      </x:c>
      <x:c r="D127" s="26" t="n">
        <x:f>MIN(B127,$N$5)</x:f>
        <x:v>2.1129393498650155</x:v>
      </x:c>
      <x:c r="E127" s="26" t="n">
        <x:f>IF(A127&lt;=$N$7,MAX(C127,$N$6),MAX(C127,$N$6*($N$8-A127)/($N$8-$N$7)))</x:f>
        <x:v>-1.52</x:v>
      </x:c>
      <x:c r="F127" s="26" t="n">
        <x:f>IF(A127&lt;=$N$7,1+$N$9*A127/$N$7,$N$10+(A127-$N$7)*($N$12-$N$10)/($N$8-$N$7))</x:f>
        <x:v>3.9985522738838513</x:v>
      </x:c>
      <x:c r="G127" s="26" t="n">
        <x:f>IF(A127&lt;=$N$7,1-$N$9*A127/$N$7,$N$11+(A127-$N$7)*($N$13-$N$11)/($N$8-$N$7))</x:f>
        <x:v>-1.9985522738838513</x:v>
      </x:c>
      <x:c r="H127" s="26" t="n">
        <x:f>MIN(F127,B127)</x:f>
        <x:v>2.1129393498650155</x:v>
      </x:c>
      <x:c r="I127" s="26" t="n">
        <x:f>MAX(G127,C127)</x:f>
        <x:v>-1.899925890782932</x:v>
      </x:c>
      <x:c r="J127" s="26" t="n">
        <x:f>MAX(D127,H127)</x:f>
        <x:v>2.1129393498650155</x:v>
      </x:c>
      <x:c r="K127" s="26" t="n">
        <x:f>MIN(E127,I127)</x:f>
        <x:v>-1.899925890782932</x:v>
      </x:c>
      <x:c r="P127" s="26" t="n">
        <x:v>61.5</x:v>
      </x:c>
      <x:c r="Q127" s="26" t="n">
        <x:v>2.1129393498650155</x:v>
      </x:c>
      <x:c r="R127" s="26" t="n">
        <x:v>-1.899925890782932</x:v>
      </x:c>
      <x:c r="S127" s="26" t="n">
        <x:v>2.1129393498650155</x:v>
      </x:c>
      <x:c r="T127" s="26" t="n">
        <x:v>-1.52</x:v>
      </x:c>
      <x:c r="U127" s="26" t="n">
        <x:v>3.9985522738838513</x:v>
      </x:c>
      <x:c r="V127" s="26" t="n">
        <x:v>-1.9985522738838513</x:v>
      </x:c>
    </x:row>
    <x:row r="128">
      <x:c r="A128" s="26" t="n">
        <x:v>62</x:v>
      </x:c>
      <x:c r="B128" s="26" t="n">
        <x:f>(A128/$N$3)^2</x:f>
        <x:v>2.147435748795326</x:v>
      </x:c>
      <x:c r="C128" s="26" t="n">
        <x:f>0-(A128/$N$4)^2</x:f>
        <x:v>-1.9309445764213338</x:v>
      </x:c>
      <x:c r="D128" s="26" t="n">
        <x:f>MIN(B128,$N$5)</x:f>
        <x:v>2.147435748795326</x:v>
      </x:c>
      <x:c r="E128" s="26" t="n">
        <x:f>IF(A128&lt;=$N$7,MAX(C128,$N$6),MAX(C128,$N$6*($N$8-A128)/($N$8-$N$7)))</x:f>
        <x:v>-1.52</x:v>
      </x:c>
      <x:c r="F128" s="26" t="n">
        <x:f>IF(A128&lt;=$N$7,1+$N$9*A128/$N$7,$N$10+(A128-$N$7)*($N$12-$N$10)/($N$8-$N$7))</x:f>
        <x:v>4.0229307476552645</x:v>
      </x:c>
      <x:c r="G128" s="26" t="n">
        <x:f>IF(A128&lt;=$N$7,1-$N$9*A128/$N$7,$N$11+(A128-$N$7)*($N$13-$N$11)/($N$8-$N$7))</x:f>
        <x:v>-2.0229307476552645</x:v>
      </x:c>
      <x:c r="H128" s="26" t="n">
        <x:f>MIN(F128,B128)</x:f>
        <x:v>2.147435748795326</x:v>
      </x:c>
      <x:c r="I128" s="26" t="n">
        <x:f>MAX(G128,C128)</x:f>
        <x:v>-1.9309445764213338</x:v>
      </x:c>
      <x:c r="J128" s="26" t="n">
        <x:f>MAX(D128,H128)</x:f>
        <x:v>2.147435748795326</x:v>
      </x:c>
      <x:c r="K128" s="26" t="n">
        <x:f>MIN(E128,I128)</x:f>
        <x:v>-1.9309445764213338</x:v>
      </x:c>
      <x:c r="P128" s="26" t="n">
        <x:v>62</x:v>
      </x:c>
      <x:c r="Q128" s="26" t="n">
        <x:v>2.147435748795326</x:v>
      </x:c>
      <x:c r="R128" s="26" t="n">
        <x:v>-1.9309445764213338</x:v>
      </x:c>
      <x:c r="S128" s="26" t="n">
        <x:v>2.147435748795326</x:v>
      </x:c>
      <x:c r="T128" s="26" t="n">
        <x:v>-1.52</x:v>
      </x:c>
      <x:c r="U128" s="26" t="n">
        <x:v>4.0229307476552645</x:v>
      </x:c>
      <x:c r="V128" s="26" t="n">
        <x:v>-2.0229307476552645</x:v>
      </x:c>
    </x:row>
    <x:row r="129">
      <x:c r="A129" s="26" t="n">
        <x:v>62.5</x:v>
      </x:c>
      <x:c r="B129" s="26" t="n">
        <x:f>(A129/$N$3)^2</x:f>
        <x:v>2.1822114707938978</x:v>
      </x:c>
      <x:c r="C129" s="26" t="n">
        <x:f>0-(A129/$N$4)^2</x:f>
        <x:v>-1.9622144255062008</x:v>
      </x:c>
      <x:c r="D129" s="26" t="n">
        <x:f>MIN(B129,$N$5)</x:f>
        <x:v>2.1822114707938978</x:v>
      </x:c>
      <x:c r="E129" s="26" t="n">
        <x:f>IF(A129&lt;=$N$7,MAX(C129,$N$6),MAX(C129,$N$6*($N$8-A129)/($N$8-$N$7)))</x:f>
        <x:v>-1.52</x:v>
      </x:c>
      <x:c r="F129" s="26" t="n">
        <x:f>IF(A129&lt;=$N$7,1+$N$9*A129/$N$7,$N$10+(A129-$N$7)*($N$12-$N$10)/($N$8-$N$7))</x:f>
        <x:v>4.047309221426678</x:v>
      </x:c>
      <x:c r="G129" s="26" t="n">
        <x:f>IF(A129&lt;=$N$7,1-$N$9*A129/$N$7,$N$11+(A129-$N$7)*($N$13-$N$11)/($N$8-$N$7))</x:f>
        <x:v>-2.047309221426678</x:v>
      </x:c>
      <x:c r="H129" s="26" t="n">
        <x:f>MIN(F129,B129)</x:f>
        <x:v>2.1822114707938978</x:v>
      </x:c>
      <x:c r="I129" s="26" t="n">
        <x:f>MAX(G129,C129)</x:f>
        <x:v>-1.9622144255062008</x:v>
      </x:c>
      <x:c r="J129" s="26" t="n">
        <x:f>MAX(D129,H129)</x:f>
        <x:v>2.1822114707938978</x:v>
      </x:c>
      <x:c r="K129" s="26" t="n">
        <x:f>MIN(E129,I129)</x:f>
        <x:v>-1.9622144255062008</x:v>
      </x:c>
      <x:c r="P129" s="26" t="n">
        <x:v>62.5</x:v>
      </x:c>
      <x:c r="Q129" s="26" t="n">
        <x:v>2.1822114707938978</x:v>
      </x:c>
      <x:c r="R129" s="26" t="n">
        <x:v>-1.9622144255062008</x:v>
      </x:c>
      <x:c r="S129" s="26" t="n">
        <x:v>2.1822114707938978</x:v>
      </x:c>
      <x:c r="T129" s="26" t="n">
        <x:v>-1.52</x:v>
      </x:c>
      <x:c r="U129" s="26" t="n">
        <x:v>4.047309221426678</x:v>
      </x:c>
      <x:c r="V129" s="26" t="n">
        <x:v>-2.047309221426678</x:v>
      </x:c>
    </x:row>
    <x:row r="130">
      <x:c r="A130" s="26" t="n">
        <x:v>63</x:v>
      </x:c>
      <x:c r="B130" s="26" t="n">
        <x:f>(A130/$N$3)^2</x:f>
        <x:v>2.2172665158607305</x:v>
      </x:c>
      <x:c r="C130" s="26" t="n">
        <x:f>0-(A130/$N$4)^2</x:f>
        <x:v>-1.9937354380375323</x:v>
      </x:c>
      <x:c r="D130" s="26" t="n">
        <x:f>MIN(B130,$N$5)</x:f>
        <x:v>2.2172665158607305</x:v>
      </x:c>
      <x:c r="E130" s="26" t="n">
        <x:f>IF(A130&lt;=$N$7,MAX(C130,$N$6),MAX(C130,$N$6*($N$8-A130)/($N$8-$N$7)))</x:f>
        <x:v>-1.52</x:v>
      </x:c>
      <x:c r="F130" s="26" t="n">
        <x:f>IF(A130&lt;=$N$7,1+$N$9*A130/$N$7,$N$10+(A130-$N$7)*($N$12-$N$10)/($N$8-$N$7))</x:f>
        <x:v>4.071687695198092</x:v>
      </x:c>
      <x:c r="G130" s="26" t="n">
        <x:f>IF(A130&lt;=$N$7,1-$N$9*A130/$N$7,$N$11+(A130-$N$7)*($N$13-$N$11)/($N$8-$N$7))</x:f>
        <x:v>-2.0716876951980914</x:v>
      </x:c>
      <x:c r="H130" s="26" t="n">
        <x:f>MIN(F130,B130)</x:f>
        <x:v>2.2172665158607305</x:v>
      </x:c>
      <x:c r="I130" s="26" t="n">
        <x:f>MAX(G130,C130)</x:f>
        <x:v>-1.9937354380375323</x:v>
      </x:c>
      <x:c r="J130" s="26" t="n">
        <x:f>MAX(D130,H130)</x:f>
        <x:v>2.2172665158607305</x:v>
      </x:c>
      <x:c r="K130" s="26" t="n">
        <x:f>MIN(E130,I130)</x:f>
        <x:v>-1.9937354380375323</x:v>
      </x:c>
      <x:c r="P130" s="26" t="n">
        <x:v>63</x:v>
      </x:c>
      <x:c r="Q130" s="26" t="n">
        <x:v>2.2172665158607305</x:v>
      </x:c>
      <x:c r="R130" s="26" t="n">
        <x:v>-1.9937354380375323</x:v>
      </x:c>
      <x:c r="S130" s="26" t="n">
        <x:v>2.2172665158607305</x:v>
      </x:c>
      <x:c r="T130" s="26" t="n">
        <x:v>-1.52</x:v>
      </x:c>
      <x:c r="U130" s="26" t="n">
        <x:v>4.071687695198092</x:v>
      </x:c>
      <x:c r="V130" s="26" t="n">
        <x:v>-2.0716876951980914</x:v>
      </x:c>
    </x:row>
    <x:row r="131">
      <x:c r="A131" s="26" t="n">
        <x:v>63.5</x:v>
      </x:c>
      <x:c r="B131" s="26" t="n">
        <x:f>(A131/$N$3)^2</x:f>
        <x:v>2.2526008839958256</x:v>
      </x:c>
      <x:c r="C131" s="26" t="n">
        <x:f>0-(A131/$N$4)^2</x:f>
        <x:v>-2.025507614015329</x:v>
      </x:c>
      <x:c r="D131" s="26" t="n">
        <x:f>MIN(B131,$N$5)</x:f>
        <x:v>2.2526008839958256</x:v>
      </x:c>
      <x:c r="E131" s="26" t="n">
        <x:f>IF(A131&lt;=$N$7,MAX(C131,$N$6),MAX(C131,$N$6*($N$8-A131)/($N$8-$N$7)))</x:f>
        <x:v>-1.52</x:v>
      </x:c>
      <x:c r="F131" s="26" t="n">
        <x:f>IF(A131&lt;=$N$7,1+$N$9*A131/$N$7,$N$10+(A131-$N$7)*($N$12-$N$10)/($N$8-$N$7))</x:f>
        <x:v>4.096066168969505</x:v>
      </x:c>
      <x:c r="G131" s="26" t="n">
        <x:f>IF(A131&lt;=$N$7,1-$N$9*A131/$N$7,$N$11+(A131-$N$7)*($N$13-$N$11)/($N$8-$N$7))</x:f>
        <x:v>-2.0960661689695046</x:v>
      </x:c>
      <x:c r="H131" s="26" t="n">
        <x:f>MIN(F131,B131)</x:f>
        <x:v>2.2526008839958256</x:v>
      </x:c>
      <x:c r="I131" s="26" t="n">
        <x:f>MAX(G131,C131)</x:f>
        <x:v>-2.025507614015329</x:v>
      </x:c>
      <x:c r="J131" s="26" t="n">
        <x:f>MAX(D131,H131)</x:f>
        <x:v>2.2526008839958256</x:v>
      </x:c>
      <x:c r="K131" s="26" t="n">
        <x:f>MIN(E131,I131)</x:f>
        <x:v>-2.025507614015329</x:v>
      </x:c>
      <x:c r="P131" s="26" t="n">
        <x:v>63.5</x:v>
      </x:c>
      <x:c r="Q131" s="26" t="n">
        <x:v>2.2526008839958256</x:v>
      </x:c>
      <x:c r="R131" s="26" t="n">
        <x:v>-2.025507614015329</x:v>
      </x:c>
      <x:c r="S131" s="26" t="n">
        <x:v>2.2526008839958256</x:v>
      </x:c>
      <x:c r="T131" s="26" t="n">
        <x:v>-1.52</x:v>
      </x:c>
      <x:c r="U131" s="26" t="n">
        <x:v>4.0960661689695055</x:v>
      </x:c>
      <x:c r="V131" s="26" t="n">
        <x:v>-2.096066168969505</x:v>
      </x:c>
    </x:row>
    <x:row r="132">
      <x:c r="A132" s="26" t="n">
        <x:v>64</x:v>
      </x:c>
      <x:c r="B132" s="26" t="n">
        <x:f>(A132/$N$3)^2</x:f>
        <x:v>2.2882145751991816</x:v>
      </x:c>
      <x:c r="C132" s="26" t="n">
        <x:f>0-(A132/$N$4)^2</x:f>
        <x:v>-2.05753095343959</x:v>
      </x:c>
      <x:c r="D132" s="26" t="n">
        <x:f>MIN(B132,$N$5)</x:f>
        <x:v>2.2882145751991816</x:v>
      </x:c>
      <x:c r="E132" s="26" t="n">
        <x:f>IF(A132&lt;=$N$7,MAX(C132,$N$6),MAX(C132,$N$6*($N$8-A132)/($N$8-$N$7)))</x:f>
        <x:v>-1.52</x:v>
      </x:c>
      <x:c r="F132" s="26" t="n">
        <x:f>IF(A132&lt;=$N$7,1+$N$9*A132/$N$7,$N$10+(A132-$N$7)*($N$12-$N$10)/($N$8-$N$7))</x:f>
        <x:v>4.120444642740918</x:v>
      </x:c>
      <x:c r="G132" s="26" t="n">
        <x:f>IF(A132&lt;=$N$7,1-$N$9*A132/$N$7,$N$11+(A132-$N$7)*($N$13-$N$11)/($N$8-$N$7))</x:f>
        <x:v>-2.1204446427409183</x:v>
      </x:c>
      <x:c r="H132" s="26" t="n">
        <x:f>MIN(F132,B132)</x:f>
        <x:v>2.2882145751991816</x:v>
      </x:c>
      <x:c r="I132" s="26" t="n">
        <x:f>MAX(G132,C132)</x:f>
        <x:v>-2.05753095343959</x:v>
      </x:c>
      <x:c r="J132" s="26" t="n">
        <x:f>MAX(D132,H132)</x:f>
        <x:v>2.2882145751991816</x:v>
      </x:c>
      <x:c r="K132" s="26" t="n">
        <x:f>MIN(E132,I132)</x:f>
        <x:v>-2.05753095343959</x:v>
      </x:c>
      <x:c r="P132" s="26" t="n">
        <x:v>64</x:v>
      </x:c>
      <x:c r="Q132" s="26" t="n">
        <x:v>2.2882145751991816</x:v>
      </x:c>
      <x:c r="R132" s="26" t="n">
        <x:v>-2.05753095343959</x:v>
      </x:c>
      <x:c r="S132" s="26" t="n">
        <x:v>2.2882145751991816</x:v>
      </x:c>
      <x:c r="T132" s="26" t="n">
        <x:v>-1.52</x:v>
      </x:c>
      <x:c r="U132" s="26" t="n">
        <x:v>4.120444642740918</x:v>
      </x:c>
      <x:c r="V132" s="26" t="n">
        <x:v>-2.1204446427409183</x:v>
      </x:c>
    </x:row>
    <x:row r="133">
      <x:c r="A133" s="26" t="n">
        <x:v>64.5</x:v>
      </x:c>
      <x:c r="B133" s="26" t="n">
        <x:f>(A133/$N$3)^2</x:f>
        <x:v>2.3241075894708</x:v>
      </x:c>
      <x:c r="C133" s="26" t="n">
        <x:f>0-(A133/$N$4)^2</x:f>
        <x:v>-2.0898054563103163</x:v>
      </x:c>
      <x:c r="D133" s="26" t="n">
        <x:f>MIN(B133,$N$5)</x:f>
        <x:v>2.3241075894708</x:v>
      </x:c>
      <x:c r="E133" s="26" t="n">
        <x:f>IF(A133&lt;=$N$7,MAX(C133,$N$6),MAX(C133,$N$6*($N$8-A133)/($N$8-$N$7)))</x:f>
        <x:v>-1.52</x:v>
      </x:c>
      <x:c r="F133" s="26" t="n">
        <x:f>IF(A133&lt;=$N$7,1+$N$9*A133/$N$7,$N$10+(A133-$N$7)*($N$12-$N$10)/($N$8-$N$7))</x:f>
        <x:v>4.144823116512332</x:v>
      </x:c>
      <x:c r="G133" s="26" t="n">
        <x:f>IF(A133&lt;=$N$7,1-$N$9*A133/$N$7,$N$11+(A133-$N$7)*($N$13-$N$11)/($N$8-$N$7))</x:f>
        <x:v>-2.144823116512332</x:v>
      </x:c>
      <x:c r="H133" s="26" t="n">
        <x:f>MIN(F133,B133)</x:f>
        <x:v>2.3241075894708</x:v>
      </x:c>
      <x:c r="I133" s="26" t="n">
        <x:f>MAX(G133,C133)</x:f>
        <x:v>-2.0898054563103163</x:v>
      </x:c>
      <x:c r="J133" s="26" t="n">
        <x:f>MAX(D133,H133)</x:f>
        <x:v>2.3241075894708</x:v>
      </x:c>
      <x:c r="K133" s="26" t="n">
        <x:f>MIN(E133,I133)</x:f>
        <x:v>-2.0898054563103163</x:v>
      </x:c>
      <x:c r="P133" s="26" t="n">
        <x:v>64.5</x:v>
      </x:c>
      <x:c r="Q133" s="26" t="n">
        <x:v>2.3241075894708</x:v>
      </x:c>
      <x:c r="R133" s="26" t="n">
        <x:v>-2.0898054563103163</x:v>
      </x:c>
      <x:c r="S133" s="26" t="n">
        <x:v>2.3241075894708</x:v>
      </x:c>
      <x:c r="T133" s="26" t="n">
        <x:v>-1.52</x:v>
      </x:c>
      <x:c r="U133" s="26" t="n">
        <x:v>4.144823116512331</x:v>
      </x:c>
      <x:c r="V133" s="26" t="n">
        <x:v>-2.1448231165123315</x:v>
      </x:c>
    </x:row>
    <x:row r="134">
      <x:c r="A134" s="26" t="n">
        <x:v>65</x:v>
      </x:c>
      <x:c r="B134" s="26" t="n">
        <x:f>(A134/$N$3)^2</x:f>
        <x:v>2.36027992681068</x:v>
      </x:c>
      <x:c r="C134" s="26" t="n">
        <x:f>0-(A134/$N$4)^2</x:f>
        <x:v>-2.122331122627507</x:v>
      </x:c>
      <x:c r="D134" s="26" t="n">
        <x:f>MIN(B134,$N$5)</x:f>
        <x:v>2.36027992681068</x:v>
      </x:c>
      <x:c r="E134" s="26" t="n">
        <x:f>IF(A134&lt;=$N$7,MAX(C134,$N$6),MAX(C134,$N$6*($N$8-A134)/($N$8-$N$7)))</x:f>
        <x:v>-1.52</x:v>
      </x:c>
      <x:c r="F134" s="26" t="n">
        <x:f>IF(A134&lt;=$N$7,1+$N$9*A134/$N$7,$N$10+(A134-$N$7)*($N$12-$N$10)/($N$8-$N$7))</x:f>
        <x:v>4.169201590283745</x:v>
      </x:c>
      <x:c r="G134" s="26" t="n">
        <x:f>IF(A134&lt;=$N$7,1-$N$9*A134/$N$7,$N$11+(A134-$N$7)*($N$13-$N$11)/($N$8-$N$7))</x:f>
        <x:v>-2.169201590283745</x:v>
      </x:c>
      <x:c r="H134" s="26" t="n">
        <x:f>MIN(F134,B134)</x:f>
        <x:v>2.36027992681068</x:v>
      </x:c>
      <x:c r="I134" s="26" t="n">
        <x:f>MAX(G134,C134)</x:f>
        <x:v>-2.122331122627507</x:v>
      </x:c>
      <x:c r="J134" s="26" t="n">
        <x:f>MAX(D134,H134)</x:f>
        <x:v>2.36027992681068</x:v>
      </x:c>
      <x:c r="K134" s="26" t="n">
        <x:f>MIN(E134,I134)</x:f>
        <x:v>-2.122331122627507</x:v>
      </x:c>
      <x:c r="P134" s="26" t="n">
        <x:v>65</x:v>
      </x:c>
      <x:c r="Q134" s="26" t="n">
        <x:v>2.36027992681068</x:v>
      </x:c>
      <x:c r="R134" s="26" t="n">
        <x:v>-2.122331122627507</x:v>
      </x:c>
      <x:c r="S134" s="26" t="n">
        <x:v>2.36027992681068</x:v>
      </x:c>
      <x:c r="T134" s="26" t="n">
        <x:v>-1.52</x:v>
      </x:c>
      <x:c r="U134" s="26" t="n">
        <x:v>4.169201590283745</x:v>
      </x:c>
      <x:c r="V134" s="26" t="n">
        <x:v>-2.169201590283745</x:v>
      </x:c>
    </x:row>
    <x:row r="135">
      <x:c r="A135" s="26" t="n">
        <x:v>65.5</x:v>
      </x:c>
      <x:c r="B135" s="26" t="n">
        <x:f>(A135/$N$3)^2</x:f>
        <x:v>2.3967315872188206</x:v>
      </x:c>
      <x:c r="C135" s="26" t="n">
        <x:f>0-(A135/$N$4)^2</x:f>
        <x:v>-2.155107952391162</x:v>
      </x:c>
      <x:c r="D135" s="26" t="n">
        <x:f>MIN(B135,$N$5)</x:f>
        <x:v>2.3967315872188206</x:v>
      </x:c>
      <x:c r="E135" s="26" t="n">
        <x:f>IF(A135&lt;=$N$7,MAX(C135,$N$6),MAX(C135,$N$6*($N$8-A135)/($N$8-$N$7)))</x:f>
        <x:v>-1.52</x:v>
      </x:c>
      <x:c r="F135" s="26" t="n">
        <x:f>IF(A135&lt;=$N$7,1+$N$9*A135/$N$7,$N$10+(A135-$N$7)*($N$12-$N$10)/($N$8-$N$7))</x:f>
        <x:v>4.193580064055158</x:v>
      </x:c>
      <x:c r="G135" s="26" t="n">
        <x:f>IF(A135&lt;=$N$7,1-$N$9*A135/$N$7,$N$11+(A135-$N$7)*($N$13-$N$11)/($N$8-$N$7))</x:f>
        <x:v>-2.1935800640551584</x:v>
      </x:c>
      <x:c r="H135" s="26" t="n">
        <x:f>MIN(F135,B135)</x:f>
        <x:v>2.3967315872188206</x:v>
      </x:c>
      <x:c r="I135" s="26" t="n">
        <x:f>MAX(G135,C135)</x:f>
        <x:v>-2.155107952391162</x:v>
      </x:c>
      <x:c r="J135" s="26" t="n">
        <x:f>MAX(D135,H135)</x:f>
        <x:v>2.3967315872188206</x:v>
      </x:c>
      <x:c r="K135" s="26" t="n">
        <x:f>MIN(E135,I135)</x:f>
        <x:v>-2.155107952391162</x:v>
      </x:c>
      <x:c r="P135" s="26" t="n">
        <x:v>65.5</x:v>
      </x:c>
      <x:c r="Q135" s="26" t="n">
        <x:v>2.3967315872188206</x:v>
      </x:c>
      <x:c r="R135" s="26" t="n">
        <x:v>-2.155107952391162</x:v>
      </x:c>
      <x:c r="S135" s="26" t="n">
        <x:v>2.3967315872188206</x:v>
      </x:c>
      <x:c r="T135" s="26" t="n">
        <x:v>-1.52</x:v>
      </x:c>
      <x:c r="U135" s="26" t="n">
        <x:v>4.193580064055158</x:v>
      </x:c>
      <x:c r="V135" s="26" t="n">
        <x:v>-2.1935800640551584</x:v>
      </x:c>
    </x:row>
    <x:row r="136">
      <x:c r="A136" s="26" t="n">
        <x:v>66</x:v>
      </x:c>
      <x:c r="B136" s="26" t="n">
        <x:f>(A136/$N$3)^2</x:f>
        <x:v>2.433462570695224</x:v>
      </x:c>
      <x:c r="C136" s="26" t="n">
        <x:f>0-(A136/$N$4)^2</x:f>
        <x:v>-2.1881359456012826</x:v>
      </x:c>
      <x:c r="D136" s="26" t="n">
        <x:f>MIN(B136,$N$5)</x:f>
        <x:v>2.433462570695224</x:v>
      </x:c>
      <x:c r="E136" s="26" t="n">
        <x:f>IF(A136&lt;=$N$7,MAX(C136,$N$6),MAX(C136,$N$6*($N$8-A136)/($N$8-$N$7)))</x:f>
        <x:v>-1.52</x:v>
      </x:c>
      <x:c r="F136" s="26" t="n">
        <x:f>IF(A136&lt;=$N$7,1+$N$9*A136/$N$7,$N$10+(A136-$N$7)*($N$12-$N$10)/($N$8-$N$7))</x:f>
        <x:v>4.217958537826572</x:v>
      </x:c>
      <x:c r="G136" s="26" t="n">
        <x:f>IF(A136&lt;=$N$7,1-$N$9*A136/$N$7,$N$11+(A136-$N$7)*($N$13-$N$11)/($N$8-$N$7))</x:f>
        <x:v>-2.2179585378265716</x:v>
      </x:c>
      <x:c r="H136" s="26" t="n">
        <x:f>MIN(F136,B136)</x:f>
        <x:v>2.433462570695224</x:v>
      </x:c>
      <x:c r="I136" s="26" t="n">
        <x:f>MAX(G136,C136)</x:f>
        <x:v>-2.1881359456012826</x:v>
      </x:c>
      <x:c r="J136" s="26" t="n">
        <x:f>MAX(D136,H136)</x:f>
        <x:v>2.433462570695224</x:v>
      </x:c>
      <x:c r="K136" s="26" t="n">
        <x:f>MIN(E136,I136)</x:f>
        <x:v>-2.1881359456012826</x:v>
      </x:c>
      <x:c r="P136" s="26" t="n">
        <x:v>66</x:v>
      </x:c>
      <x:c r="Q136" s="26" t="n">
        <x:v>2.433462570695224</x:v>
      </x:c>
      <x:c r="R136" s="26" t="n">
        <x:v>-2.1881359456012826</x:v>
      </x:c>
      <x:c r="S136" s="26" t="n">
        <x:v>2.433462570695224</x:v>
      </x:c>
      <x:c r="T136" s="26" t="n">
        <x:v>-1.52</x:v>
      </x:c>
      <x:c r="U136" s="26" t="n">
        <x:v>4.217958537826572</x:v>
      </x:c>
      <x:c r="V136" s="26" t="n">
        <x:v>-2.217958537826572</x:v>
      </x:c>
    </x:row>
    <x:row r="137">
      <x:c r="A137" s="26" t="n">
        <x:v>66.5</x:v>
      </x:c>
      <x:c r="B137" s="26" t="n">
        <x:f>(A137/$N$3)^2</x:f>
        <x:v>2.470472877239888</x:v>
      </x:c>
      <x:c r="C137" s="26" t="n">
        <x:f>0-(A137/$N$4)^2</x:f>
        <x:v>-2.2214151022578674</x:v>
      </x:c>
      <x:c r="D137" s="26" t="n">
        <x:f>MIN(B137,$N$5)</x:f>
        <x:v>2.470472877239888</x:v>
      </x:c>
      <x:c r="E137" s="26" t="n">
        <x:f>IF(A137&lt;=$N$7,MAX(C137,$N$6),MAX(C137,$N$6*($N$8-A137)/($N$8-$N$7)))</x:f>
        <x:v>-1.52</x:v>
      </x:c>
      <x:c r="F137" s="26" t="n">
        <x:f>IF(A137&lt;=$N$7,1+$N$9*A137/$N$7,$N$10+(A137-$N$7)*($N$12-$N$10)/($N$8-$N$7))</x:f>
        <x:v>4.242337011597986</x:v>
      </x:c>
      <x:c r="G137" s="26" t="n">
        <x:f>IF(A137&lt;=$N$7,1-$N$9*A137/$N$7,$N$11+(A137-$N$7)*($N$13-$N$11)/($N$8-$N$7))</x:f>
        <x:v>-2.2423370115979853</x:v>
      </x:c>
      <x:c r="H137" s="26" t="n">
        <x:f>MIN(F137,B137)</x:f>
        <x:v>2.470472877239888</x:v>
      </x:c>
      <x:c r="I137" s="26" t="n">
        <x:f>MAX(G137,C137)</x:f>
        <x:v>-2.2214151022578674</x:v>
      </x:c>
      <x:c r="J137" s="26" t="n">
        <x:f>MAX(D137,H137)</x:f>
        <x:v>2.470472877239888</x:v>
      </x:c>
      <x:c r="K137" s="26" t="n">
        <x:f>MIN(E137,I137)</x:f>
        <x:v>-2.2214151022578674</x:v>
      </x:c>
      <x:c r="P137" s="26" t="n">
        <x:v>66.5</x:v>
      </x:c>
      <x:c r="Q137" s="26" t="n">
        <x:v>2.470472877239888</x:v>
      </x:c>
      <x:c r="R137" s="26" t="n">
        <x:v>-2.2214151022578674</x:v>
      </x:c>
      <x:c r="S137" s="26" t="n">
        <x:v>2.470472877239888</x:v>
      </x:c>
      <x:c r="T137" s="26" t="n">
        <x:v>-1.52</x:v>
      </x:c>
      <x:c r="U137" s="26" t="n">
        <x:v>4.242337011597986</x:v>
      </x:c>
      <x:c r="V137" s="26" t="n">
        <x:v>-2.2423370115979853</x:v>
      </x:c>
    </x:row>
    <x:row r="138">
      <x:c r="A138" s="26" t="n">
        <x:v>67</x:v>
      </x:c>
      <x:c r="B138" s="26" t="n">
        <x:f>(A138/$N$3)^2</x:f>
        <x:v>2.5077625068528144</x:v>
      </x:c>
      <x:c r="C138" s="26" t="n">
        <x:f>0-(A138/$N$4)^2</x:f>
        <x:v>-2.254945422360918</x:v>
      </x:c>
      <x:c r="D138" s="26" t="n">
        <x:f>MIN(B138,$N$5)</x:f>
        <x:v>2.5077625068528144</x:v>
      </x:c>
      <x:c r="E138" s="26" t="n">
        <x:f>IF(A138&lt;=$N$7,MAX(C138,$N$6),MAX(C138,$N$6*($N$8-A138)/($N$8-$N$7)))</x:f>
        <x:v>-1.52</x:v>
      </x:c>
      <x:c r="F138" s="26" t="n">
        <x:f>IF(A138&lt;=$N$7,1+$N$9*A138/$N$7,$N$10+(A138-$N$7)*($N$12-$N$10)/($N$8-$N$7))</x:f>
        <x:v>4.266715485369399</x:v>
      </x:c>
      <x:c r="G138" s="26" t="n">
        <x:f>IF(A138&lt;=$N$7,1-$N$9*A138/$N$7,$N$11+(A138-$N$7)*($N$13-$N$11)/($N$8-$N$7))</x:f>
        <x:v>-2.266715485369399</x:v>
      </x:c>
      <x:c r="H138" s="26" t="n">
        <x:f>MIN(F138,B138)</x:f>
        <x:v>2.5077625068528144</x:v>
      </x:c>
      <x:c r="I138" s="26" t="n">
        <x:f>MAX(G138,C138)</x:f>
        <x:v>-2.254945422360918</x:v>
      </x:c>
      <x:c r="J138" s="26" t="n">
        <x:f>MAX(D138,H138)</x:f>
        <x:v>2.5077625068528144</x:v>
      </x:c>
      <x:c r="K138" s="26" t="n">
        <x:f>MIN(E138,I138)</x:f>
        <x:v>-2.254945422360918</x:v>
      </x:c>
      <x:c r="P138" s="26" t="n">
        <x:v>67</x:v>
      </x:c>
      <x:c r="Q138" s="26" t="n">
        <x:v>2.5077625068528144</x:v>
      </x:c>
      <x:c r="R138" s="26" t="n">
        <x:v>-2.254945422360918</x:v>
      </x:c>
      <x:c r="S138" s="26" t="n">
        <x:v>2.5077625068528144</x:v>
      </x:c>
      <x:c r="T138" s="26" t="n">
        <x:v>-1.52</x:v>
      </x:c>
      <x:c r="U138" s="26" t="n">
        <x:v>4.266715485369399</x:v>
      </x:c>
      <x:c r="V138" s="26" t="n">
        <x:v>-2.266715485369399</x:v>
      </x:c>
    </x:row>
    <x:row r="139">
      <x:c r="A139" s="26" t="n">
        <x:v>67.5</x:v>
      </x:c>
      <x:c r="B139" s="26" t="n">
        <x:f>(A139/$N$3)^2</x:f>
        <x:v>2.5453314595340024</x:v>
      </x:c>
      <x:c r="C139" s="26" t="n">
        <x:f>0-(A139/$N$4)^2</x:f>
        <x:v>-2.2887269059104325</x:v>
      </x:c>
      <x:c r="D139" s="26" t="n">
        <x:f>MIN(B139,$N$5)</x:f>
        <x:v>2.5453314595340024</x:v>
      </x:c>
      <x:c r="E139" s="26" t="n">
        <x:f>IF(A139&lt;=$N$7,MAX(C139,$N$6),MAX(C139,$N$6*($N$8-A139)/($N$8-$N$7)))</x:f>
        <x:v>-1.52</x:v>
      </x:c>
      <x:c r="F139" s="26" t="n">
        <x:f>IF(A139&lt;=$N$7,1+$N$9*A139/$N$7,$N$10+(A139-$N$7)*($N$12-$N$10)/($N$8-$N$7))</x:f>
        <x:v>4.291093959140812</x:v>
      </x:c>
      <x:c r="G139" s="26" t="n">
        <x:f>IF(A139&lt;=$N$7,1-$N$9*A139/$N$7,$N$11+(A139-$N$7)*($N$13-$N$11)/($N$8-$N$7))</x:f>
        <x:v>-2.291093959140812</x:v>
      </x:c>
      <x:c r="H139" s="26" t="n">
        <x:f>MIN(F139,B139)</x:f>
        <x:v>2.5453314595340024</x:v>
      </x:c>
      <x:c r="I139" s="26" t="n">
        <x:f>MAX(G139,C139)</x:f>
        <x:v>-2.2887269059104325</x:v>
      </x:c>
      <x:c r="J139" s="26" t="n">
        <x:f>MAX(D139,H139)</x:f>
        <x:v>2.5453314595340024</x:v>
      </x:c>
      <x:c r="K139" s="26" t="n">
        <x:f>MIN(E139,I139)</x:f>
        <x:v>-2.2887269059104325</x:v>
      </x:c>
      <x:c r="P139" s="26" t="n">
        <x:v>67.5</x:v>
      </x:c>
      <x:c r="Q139" s="26" t="n">
        <x:v>2.5453314595340024</x:v>
      </x:c>
      <x:c r="R139" s="26" t="n">
        <x:v>-2.2887269059104325</x:v>
      </x:c>
      <x:c r="S139" s="26" t="n">
        <x:v>2.5453314595340024</x:v>
      </x:c>
      <x:c r="T139" s="26" t="n">
        <x:v>-1.52</x:v>
      </x:c>
      <x:c r="U139" s="26" t="n">
        <x:v>4.291093959140812</x:v>
      </x:c>
      <x:c r="V139" s="26" t="n">
        <x:v>-2.291093959140812</x:v>
      </x:c>
    </x:row>
    <x:row r="140">
      <x:c r="A140" s="26" t="n">
        <x:v>68</x:v>
      </x:c>
      <x:c r="B140" s="26" t="n">
        <x:f>(A140/$N$3)^2</x:f>
        <x:v>2.5831797352834514</x:v>
      </x:c>
      <x:c r="C140" s="26" t="n">
        <x:f>0-(A140/$N$4)^2</x:f>
        <x:v>-2.3227595529064122</x:v>
      </x:c>
      <x:c r="D140" s="26" t="n">
        <x:f>MIN(B140,$N$5)</x:f>
        <x:v>2.5831797352834514</x:v>
      </x:c>
      <x:c r="E140" s="26" t="n">
        <x:f>IF(A140&lt;=$N$7,MAX(C140,$N$6),MAX(C140,$N$6*($N$8-A140)/($N$8-$N$7)))</x:f>
        <x:v>-1.52</x:v>
      </x:c>
      <x:c r="F140" s="26" t="n">
        <x:f>IF(A140&lt;=$N$7,1+$N$9*A140/$N$7,$N$10+(A140-$N$7)*($N$12-$N$10)/($N$8-$N$7))</x:f>
        <x:v>4.315472432912225</x:v>
      </x:c>
      <x:c r="G140" s="26" t="n">
        <x:f>IF(A140&lt;=$N$7,1-$N$9*A140/$N$7,$N$11+(A140-$N$7)*($N$13-$N$11)/($N$8-$N$7))</x:f>
        <x:v>-2.3154724329122254</x:v>
      </x:c>
      <x:c r="H140" s="26" t="n">
        <x:f>MIN(F140,B140)</x:f>
        <x:v>2.5831797352834514</x:v>
      </x:c>
      <x:c r="I140" s="26" t="n">
        <x:f>MAX(G140,C140)</x:f>
        <x:v>-2.3154724329122254</x:v>
      </x:c>
      <x:c r="J140" s="26" t="n">
        <x:f>MAX(D140,H140)</x:f>
        <x:v>2.5831797352834514</x:v>
      </x:c>
      <x:c r="K140" s="26" t="n">
        <x:f>MIN(E140,I140)</x:f>
        <x:v>-2.3154724329122254</x:v>
      </x:c>
      <x:c r="P140" s="26" t="n">
        <x:v>68</x:v>
      </x:c>
      <x:c r="Q140" s="26" t="n">
        <x:v>2.5831797352834514</x:v>
      </x:c>
      <x:c r="R140" s="26" t="n">
        <x:v>-2.315472432912226</x:v>
      </x:c>
      <x:c r="S140" s="26" t="n">
        <x:v>2.5831797352834514</x:v>
      </x:c>
      <x:c r="T140" s="26" t="n">
        <x:v>-1.52</x:v>
      </x:c>
      <x:c r="U140" s="26" t="n">
        <x:v>4.315472432912226</x:v>
      </x:c>
      <x:c r="V140" s="26" t="n">
        <x:v>-2.315472432912226</x:v>
      </x:c>
    </x:row>
    <x:row r="141">
      <x:c r="A141" s="26" t="n">
        <x:v>68.5</x:v>
      </x:c>
      <x:c r="B141" s="26" t="n">
        <x:f>(A141/$N$3)^2</x:f>
        <x:v>2.6213073341011626</x:v>
      </x:c>
      <x:c r="C141" s="26" t="n">
        <x:f>0-(A141/$N$4)^2</x:f>
        <x:v>-2.3570433633488563</x:v>
      </x:c>
      <x:c r="D141" s="26" t="n">
        <x:f>MIN(B141,$N$5)</x:f>
        <x:v>2.6213073341011626</x:v>
      </x:c>
      <x:c r="E141" s="26" t="n">
        <x:f>IF(A141&lt;=$N$7,MAX(C141,$N$6),MAX(C141,$N$6*($N$8-A141)/($N$8-$N$7)))</x:f>
        <x:v>-1.52</x:v>
      </x:c>
      <x:c r="F141" s="26" t="n">
        <x:f>IF(A141&lt;=$N$7,1+$N$9*A141/$N$7,$N$10+(A141-$N$7)*($N$12-$N$10)/($N$8-$N$7))</x:f>
        <x:v>4.339850906683639</x:v>
      </x:c>
      <x:c r="G141" s="26" t="n">
        <x:f>IF(A141&lt;=$N$7,1-$N$9*A141/$N$7,$N$11+(A141-$N$7)*($N$13-$N$11)/($N$8-$N$7))</x:f>
        <x:v>-2.339850906683639</x:v>
      </x:c>
      <x:c r="H141" s="26" t="n">
        <x:f>MIN(F141,B141)</x:f>
        <x:v>2.6213073341011626</x:v>
      </x:c>
      <x:c r="I141" s="26" t="n">
        <x:f>MAX(G141,C141)</x:f>
        <x:v>-2.339850906683639</x:v>
      </x:c>
      <x:c r="J141" s="26" t="n">
        <x:f>MAX(D141,H141)</x:f>
        <x:v>2.6213073341011626</x:v>
      </x:c>
      <x:c r="K141" s="26" t="n">
        <x:f>MIN(E141,I141)</x:f>
        <x:v>-2.339850906683639</x:v>
      </x:c>
      <x:c r="P141" s="26" t="n">
        <x:v>68.5</x:v>
      </x:c>
      <x:c r="Q141" s="26" t="n">
        <x:v>2.6213073341011626</x:v>
      </x:c>
      <x:c r="R141" s="26" t="n">
        <x:v>-2.339850906683639</x:v>
      </x:c>
      <x:c r="S141" s="26" t="n">
        <x:v>2.6213073341011626</x:v>
      </x:c>
      <x:c r="T141" s="26" t="n">
        <x:v>-1.52</x:v>
      </x:c>
      <x:c r="U141" s="26" t="n">
        <x:v>4.339850906683639</x:v>
      </x:c>
      <x:c r="V141" s="26" t="n">
        <x:v>-2.339850906683639</x:v>
      </x:c>
    </x:row>
    <x:row r="142">
      <x:c r="A142" s="26" t="n">
        <x:v>69</x:v>
      </x:c>
      <x:c r="B142" s="26" t="n">
        <x:f>(A142/$N$3)^2</x:f>
        <x:v>2.6597142559871347</x:v>
      </x:c>
      <x:c r="C142" s="26" t="n">
        <x:f>0-(A142/$N$4)^2</x:f>
        <x:v>-2.3915783372377657</x:v>
      </x:c>
      <x:c r="D142" s="26" t="n">
        <x:f>MIN(B142,$N$5)</x:f>
        <x:v>2.6597142559871347</x:v>
      </x:c>
      <x:c r="E142" s="26" t="n">
        <x:f>IF(A142&lt;=$N$7,MAX(C142,$N$6),MAX(C142,$N$6*($N$8-A142)/($N$8-$N$7)))</x:f>
        <x:v>-1.52</x:v>
      </x:c>
      <x:c r="F142" s="26" t="n">
        <x:f>IF(A142&lt;=$N$7,1+$N$9*A142/$N$7,$N$10+(A142-$N$7)*($N$12-$N$10)/($N$8-$N$7))</x:f>
        <x:v>4.364229380455052</x:v>
      </x:c>
      <x:c r="G142" s="26" t="n">
        <x:f>IF(A142&lt;=$N$7,1-$N$9*A142/$N$7,$N$11+(A142-$N$7)*($N$13-$N$11)/($N$8-$N$7))</x:f>
        <x:v>-2.3642293804550523</x:v>
      </x:c>
      <x:c r="H142" s="26" t="n">
        <x:f>MIN(F142,B142)</x:f>
        <x:v>2.6597142559871347</x:v>
      </x:c>
      <x:c r="I142" s="26" t="n">
        <x:f>MAX(G142,C142)</x:f>
        <x:v>-2.3642293804550523</x:v>
      </x:c>
      <x:c r="J142" s="26" t="n">
        <x:f>MAX(D142,H142)</x:f>
        <x:v>2.6597142559871347</x:v>
      </x:c>
      <x:c r="K142" s="26" t="n">
        <x:f>MIN(E142,I142)</x:f>
        <x:v>-2.3642293804550523</x:v>
      </x:c>
      <x:c r="P142" s="26" t="n">
        <x:v>69</x:v>
      </x:c>
      <x:c r="Q142" s="26" t="n">
        <x:v>2.6597142559871347</x:v>
      </x:c>
      <x:c r="R142" s="26" t="n">
        <x:v>-2.3642293804550527</x:v>
      </x:c>
      <x:c r="S142" s="26" t="n">
        <x:v>2.6597142559871347</x:v>
      </x:c>
      <x:c r="T142" s="26" t="n">
        <x:v>-1.52</x:v>
      </x:c>
      <x:c r="U142" s="26" t="n">
        <x:v>4.364229380455052</x:v>
      </x:c>
      <x:c r="V142" s="26" t="n">
        <x:v>-2.3642293804550527</x:v>
      </x:c>
    </x:row>
    <x:row r="143">
      <x:c r="A143" s="26" t="n">
        <x:v>69.5</x:v>
      </x:c>
      <x:c r="B143" s="26" t="n">
        <x:f>(A143/$N$3)^2</x:f>
        <x:v>2.698400500941369</x:v>
      </x:c>
      <x:c r="C143" s="26" t="n">
        <x:f>0-(A143/$N$4)^2</x:f>
        <x:v>-2.4263644745731394</x:v>
      </x:c>
      <x:c r="D143" s="26" t="n">
        <x:f>MIN(B143,$N$5)</x:f>
        <x:v>2.698400500941369</x:v>
      </x:c>
      <x:c r="E143" s="26" t="n">
        <x:f>IF(A143&lt;=$N$7,MAX(C143,$N$6),MAX(C143,$N$6*($N$8-A143)/($N$8-$N$7)))</x:f>
        <x:v>-1.52</x:v>
      </x:c>
      <x:c r="F143" s="26" t="n">
        <x:f>IF(A143&lt;=$N$7,1+$N$9*A143/$N$7,$N$10+(A143-$N$7)*($N$12-$N$10)/($N$8-$N$7))</x:f>
        <x:v>4.388607854226466</x:v>
      </x:c>
      <x:c r="G143" s="26" t="n">
        <x:f>IF(A143&lt;=$N$7,1-$N$9*A143/$N$7,$N$11+(A143-$N$7)*($N$13-$N$11)/($N$8-$N$7))</x:f>
        <x:v>-2.388607854226466</x:v>
      </x:c>
      <x:c r="H143" s="26" t="n">
        <x:f>MIN(F143,B143)</x:f>
        <x:v>2.698400500941369</x:v>
      </x:c>
      <x:c r="I143" s="26" t="n">
        <x:f>MAX(G143,C143)</x:f>
        <x:v>-2.388607854226466</x:v>
      </x:c>
      <x:c r="J143" s="26" t="n">
        <x:f>MAX(D143,H143)</x:f>
        <x:v>2.698400500941369</x:v>
      </x:c>
      <x:c r="K143" s="26" t="n">
        <x:f>MIN(E143,I143)</x:f>
        <x:v>-2.388607854226466</x:v>
      </x:c>
      <x:c r="P143" s="26" t="n">
        <x:v>69.5</x:v>
      </x:c>
      <x:c r="Q143" s="26" t="n">
        <x:v>2.698400500941369</x:v>
      </x:c>
      <x:c r="R143" s="26" t="n">
        <x:v>-2.388607854226466</x:v>
      </x:c>
      <x:c r="S143" s="26" t="n">
        <x:v>2.698400500941369</x:v>
      </x:c>
      <x:c r="T143" s="26" t="n">
        <x:v>-1.52</x:v>
      </x:c>
      <x:c r="U143" s="26" t="n">
        <x:v>4.388607854226466</x:v>
      </x:c>
      <x:c r="V143" s="26" t="n">
        <x:v>-2.388607854226466</x:v>
      </x:c>
    </x:row>
    <x:row r="144">
      <x:c r="A144" s="26" t="n">
        <x:v>69.885651</x:v>
      </x:c>
      <x:c r="B144" s="26" t="n">
        <x:f>(A144/$N$3)^2</x:f>
        <x:v>2.728430085860548</x:v>
      </x:c>
      <x:c r="C144" s="26" t="n">
        <x:f>0-(A144/$N$4)^2</x:f>
        <x:v>-2.4533666627244726</x:v>
      </x:c>
      <x:c r="D144" s="26" t="n">
        <x:f>MIN(B144,$N$5)</x:f>
        <x:v>2.728430085860548</x:v>
      </x:c>
      <x:c r="E144" s="26" t="n">
        <x:f>IF(A144&lt;=$N$7,MAX(C144,$N$6),MAX(C144,$N$6*($N$8-A144)/($N$8-$N$7)))</x:f>
        <x:v>-1.5199999977786443</x:v>
      </x:c>
      <x:c r="F144" s="26" t="n">
        <x:f>IF(A144&lt;=$N$7,1+$N$9*A144/$N$7,$N$10+(A144-$N$7)*($N$12-$N$10)/($N$8-$N$7))</x:f>
        <x:v>4.407411016693851</x:v>
      </x:c>
      <x:c r="G144" s="26" t="n">
        <x:f>IF(A144&lt;=$N$7,1-$N$9*A144/$N$7,$N$11+(A144-$N$7)*($N$13-$N$11)/($N$8-$N$7))</x:f>
        <x:v>-2.4074110166938514</x:v>
      </x:c>
      <x:c r="H144" s="26" t="n">
        <x:f>MIN(F144,B144)</x:f>
        <x:v>2.728430085860548</x:v>
      </x:c>
      <x:c r="I144" s="26" t="n">
        <x:f>MAX(G144,C144)</x:f>
        <x:v>-2.4074110166938514</x:v>
      </x:c>
      <x:c r="J144" s="26" t="n">
        <x:f>MAX(D144,H144)</x:f>
        <x:v>2.728430085860548</x:v>
      </x:c>
      <x:c r="K144" s="26" t="n">
        <x:f>MIN(E144,I144)</x:f>
        <x:v>-2.4074110166938514</x:v>
      </x:c>
      <x:c r="P144" s="26" t="n">
        <x:v>69.885651</x:v>
      </x:c>
      <x:c r="Q144" s="26" t="n">
        <x:v>2.728430085860548</x:v>
      </x:c>
      <x:c r="R144" s="26" t="n">
        <x:v>-2.4074110166938514</x:v>
      </x:c>
      <x:c r="S144" s="26" t="n">
        <x:v>2.728430085860548</x:v>
      </x:c>
      <x:c r="T144" s="26" t="n">
        <x:v>-1.5199999977786443</x:v>
      </x:c>
      <x:c r="U144" s="26" t="n">
        <x:v>4.407411016693851</x:v>
      </x:c>
      <x:c r="V144" s="26" t="n">
        <x:v>-2.4074110166938514</x:v>
      </x:c>
    </x:row>
    <x:row r="145">
      <x:c r="A145" s="26" t="n">
        <x:v>70</x:v>
      </x:c>
      <x:c r="B145" s="26" t="n">
        <x:f>(A145/$N$3)^2</x:f>
        <x:v>2.7373660689638655</x:v>
      </x:c>
      <x:c r="C145" s="26" t="n">
        <x:f>0-(A145/$N$4)^2</x:f>
        <x:v>-2.4614017753549784</x:v>
      </x:c>
      <x:c r="D145" s="26" t="n">
        <x:f>MIN(B145,$N$5)</x:f>
        <x:v>2.7373660689638655</x:v>
      </x:c>
      <x:c r="E145" s="26" t="n">
        <x:f>IF(A145&lt;=$N$7,MAX(C145,$N$6),MAX(C145,$N$6*($N$8-A145)/($N$8-$N$7)))</x:f>
        <x:v>-1.510006281409403</x:v>
      </x:c>
      <x:c r="F145" s="26" t="n">
        <x:f>IF(A145&lt;=$N$7,1+$N$9*A145/$N$7,$N$10+(A145-$N$7)*($N$12-$N$10)/($N$8-$N$7))</x:f>
        <x:v>4.398997124977667</x:v>
      </x:c>
      <x:c r="G145" s="26" t="n">
        <x:f>IF(A145&lt;=$N$7,1-$N$9*A145/$N$7,$N$11+(A145-$N$7)*($N$13-$N$11)/($N$8-$N$7))</x:f>
        <x:v>-2.3989971249776665</x:v>
      </x:c>
      <x:c r="H145" s="26" t="n">
        <x:f>MIN(F145,B145)</x:f>
        <x:v>2.7373660689638655</x:v>
      </x:c>
      <x:c r="I145" s="26" t="n">
        <x:f>MAX(G145,C145)</x:f>
        <x:v>-2.3989971249776665</x:v>
      </x:c>
      <x:c r="J145" s="26" t="n">
        <x:f>MAX(D145,H145)</x:f>
        <x:v>2.7373660689638655</x:v>
      </x:c>
      <x:c r="K145" s="26" t="n">
        <x:f>MIN(E145,I145)</x:f>
        <x:v>-2.3989971249776665</x:v>
      </x:c>
      <x:c r="P145" s="26" t="n">
        <x:v>70</x:v>
      </x:c>
      <x:c r="Q145" s="26" t="n">
        <x:v>2.7373660689638655</x:v>
      </x:c>
      <x:c r="R145" s="26" t="n">
        <x:v>-2.3989971249776665</x:v>
      </x:c>
      <x:c r="S145" s="26" t="n">
        <x:v>2.7373660689638655</x:v>
      </x:c>
      <x:c r="T145" s="26" t="n">
        <x:v>-1.510006281409403</x:v>
      </x:c>
      <x:c r="U145" s="26" t="n">
        <x:v>4.398997124977667</x:v>
      </x:c>
      <x:c r="V145" s="26" t="n">
        <x:v>-2.3989971249776665</x:v>
      </x:c>
    </x:row>
    <x:row r="146">
      <x:c r="A146" s="26" t="n">
        <x:v>70.5</x:v>
      </x:c>
      <x:c r="B146" s="26" t="n">
        <x:f>(A146/$N$3)^2</x:f>
        <x:v>2.7766109600546223</x:v>
      </x:c>
      <x:c r="C146" s="26" t="n">
        <x:f>0-(A146/$N$4)^2</x:f>
        <x:v>-2.4966902395832817</x:v>
      </x:c>
      <x:c r="D146" s="26" t="n">
        <x:f>MIN(B146,$N$5)</x:f>
        <x:v>2.7766109600546223</x:v>
      </x:c>
      <x:c r="E146" s="26" t="n">
        <x:f>IF(A146&lt;=$N$7,MAX(C146,$N$6),MAX(C146,$N$6*($N$8-A146)/($N$8-$N$7)))</x:f>
        <x:v>-1.466307970233788</x:v>
      </x:c>
      <x:c r="F146" s="26" t="n">
        <x:f>IF(A146&lt;=$N$7,1+$N$9*A146/$N$7,$N$10+(A146-$N$7)*($N$12-$N$10)/($N$8-$N$7))</x:f>
        <x:v>4.362206721405337</x:v>
      </x:c>
      <x:c r="G146" s="26" t="n">
        <x:f>IF(A146&lt;=$N$7,1-$N$9*A146/$N$7,$N$11+(A146-$N$7)*($N$13-$N$11)/($N$8-$N$7))</x:f>
        <x:v>-2.362206721405337</x:v>
      </x:c>
      <x:c r="H146" s="26" t="n">
        <x:f>MIN(F146,B146)</x:f>
        <x:v>2.7766109600546223</x:v>
      </x:c>
      <x:c r="I146" s="26" t="n">
        <x:f>MAX(G146,C146)</x:f>
        <x:v>-2.362206721405337</x:v>
      </x:c>
      <x:c r="J146" s="26" t="n">
        <x:f>MAX(D146,H146)</x:f>
        <x:v>2.7766109600546223</x:v>
      </x:c>
      <x:c r="K146" s="26" t="n">
        <x:f>MIN(E146,I146)</x:f>
        <x:v>-2.362206721405337</x:v>
      </x:c>
      <x:c r="P146" s="26" t="n">
        <x:v>70.5</x:v>
      </x:c>
      <x:c r="Q146" s="26" t="n">
        <x:v>2.7766109600546223</x:v>
      </x:c>
      <x:c r="R146" s="26" t="n">
        <x:v>-2.362206721405337</x:v>
      </x:c>
      <x:c r="S146" s="26" t="n">
        <x:v>2.7766109600546223</x:v>
      </x:c>
      <x:c r="T146" s="26" t="n">
        <x:v>-1.466307970233788</x:v>
      </x:c>
      <x:c r="U146" s="26" t="n">
        <x:v>4.362206721405337</x:v>
      </x:c>
      <x:c r="V146" s="26" t="n">
        <x:v>-2.362206721405337</x:v>
      </x:c>
    </x:row>
    <x:row r="147">
      <x:c r="A147" s="26" t="n">
        <x:v>71</x:v>
      </x:c>
      <x:c r="B147" s="26" t="n">
        <x:f>(A147/$N$3)^2</x:f>
        <x:v>2.816135174213642</x:v>
      </x:c>
      <x:c r="C147" s="26" t="n">
        <x:f>0-(A147/$N$4)^2</x:f>
        <x:v>-2.5322298672580494</x:v>
      </x:c>
      <x:c r="D147" s="26" t="n">
        <x:f>MIN(B147,$N$5)</x:f>
        <x:v>2.816135174213642</x:v>
      </x:c>
      <x:c r="E147" s="26" t="n">
        <x:f>IF(A147&lt;=$N$7,MAX(C147,$N$6),MAX(C147,$N$6*($N$8-A147)/($N$8-$N$7)))</x:f>
        <x:v>-1.422609659058173</x:v>
      </x:c>
      <x:c r="F147" s="26" t="n">
        <x:f>IF(A147&lt;=$N$7,1+$N$9*A147/$N$7,$N$10+(A147-$N$7)*($N$12-$N$10)/($N$8-$N$7))</x:f>
        <x:v>4.325416317833007</x:v>
      </x:c>
      <x:c r="G147" s="26" t="n">
        <x:f>IF(A147&lt;=$N$7,1-$N$9*A147/$N$7,$N$11+(A147-$N$7)*($N$13-$N$11)/($N$8-$N$7))</x:f>
        <x:v>-2.3254163178330067</x:v>
      </x:c>
      <x:c r="H147" s="26" t="n">
        <x:f>MIN(F147,B147)</x:f>
        <x:v>2.816135174213642</x:v>
      </x:c>
      <x:c r="I147" s="26" t="n">
        <x:f>MAX(G147,C147)</x:f>
        <x:v>-2.3254163178330067</x:v>
      </x:c>
      <x:c r="J147" s="26" t="n">
        <x:f>MAX(D147,H147)</x:f>
        <x:v>2.816135174213642</x:v>
      </x:c>
      <x:c r="K147" s="26" t="n">
        <x:f>MIN(E147,I147)</x:f>
        <x:v>-2.3254163178330067</x:v>
      </x:c>
      <x:c r="P147" s="26" t="n">
        <x:v>71</x:v>
      </x:c>
      <x:c r="Q147" s="26" t="n">
        <x:v>2.816135174213642</x:v>
      </x:c>
      <x:c r="R147" s="26" t="n">
        <x:v>-2.3254163178330067</x:v>
      </x:c>
      <x:c r="S147" s="26" t="n">
        <x:v>2.816135174213642</x:v>
      </x:c>
      <x:c r="T147" s="26" t="n">
        <x:v>-1.422609659058173</x:v>
      </x:c>
      <x:c r="U147" s="26" t="n">
        <x:v>4.325416317833007</x:v>
      </x:c>
      <x:c r="V147" s="26" t="n">
        <x:v>-2.3254163178330067</x:v>
      </x:c>
    </x:row>
    <x:row r="148">
      <x:c r="A148" s="26" t="n">
        <x:v>71.5</x:v>
      </x:c>
      <x:c r="B148" s="26" t="n">
        <x:f>(A148/$N$3)^2</x:f>
        <x:v>2.855938711440922</x:v>
      </x:c>
      <x:c r="C148" s="26" t="n">
        <x:f>0-(A148/$N$4)^2</x:f>
        <x:v>-2.5680206583792833</x:v>
      </x:c>
      <x:c r="D148" s="26" t="n">
        <x:f>MIN(B148,$N$5)</x:f>
        <x:v>2.855938711440922</x:v>
      </x:c>
      <x:c r="E148" s="26" t="n">
        <x:f>IF(A148&lt;=$N$7,MAX(C148,$N$6),MAX(C148,$N$6*($N$8-A148)/($N$8-$N$7)))</x:f>
        <x:v>-1.378911347882558</x:v>
      </x:c>
      <x:c r="F148" s="26" t="n">
        <x:f>IF(A148&lt;=$N$7,1+$N$9*A148/$N$7,$N$10+(A148-$N$7)*($N$12-$N$10)/($N$8-$N$7))</x:f>
        <x:v>4.288625914260677</x:v>
      </x:c>
      <x:c r="G148" s="26" t="n">
        <x:f>IF(A148&lt;=$N$7,1-$N$9*A148/$N$7,$N$11+(A148-$N$7)*($N$13-$N$11)/($N$8-$N$7))</x:f>
        <x:v>-2.288625914260677</x:v>
      </x:c>
      <x:c r="H148" s="26" t="n">
        <x:f>MIN(F148,B148)</x:f>
        <x:v>2.855938711440922</x:v>
      </x:c>
      <x:c r="I148" s="26" t="n">
        <x:f>MAX(G148,C148)</x:f>
        <x:v>-2.288625914260677</x:v>
      </x:c>
      <x:c r="J148" s="26" t="n">
        <x:f>MAX(D148,H148)</x:f>
        <x:v>2.855938711440922</x:v>
      </x:c>
      <x:c r="K148" s="26" t="n">
        <x:f>MIN(E148,I148)</x:f>
        <x:v>-2.288625914260677</x:v>
      </x:c>
      <x:c r="P148" s="26" t="n">
        <x:v>71.5</x:v>
      </x:c>
      <x:c r="Q148" s="26" t="n">
        <x:v>2.855938711440922</x:v>
      </x:c>
      <x:c r="R148" s="26" t="n">
        <x:v>-2.288625914260677</x:v>
      </x:c>
      <x:c r="S148" s="26" t="n">
        <x:v>2.855938711440922</x:v>
      </x:c>
      <x:c r="T148" s="26" t="n">
        <x:v>-1.378911347882558</x:v>
      </x:c>
      <x:c r="U148" s="26" t="n">
        <x:v>4.288625914260677</x:v>
      </x:c>
      <x:c r="V148" s="26" t="n">
        <x:v>-2.288625914260677</x:v>
      </x:c>
    </x:row>
    <x:row r="149">
      <x:c r="A149" s="26" t="n">
        <x:v>72</x:v>
      </x:c>
      <x:c r="B149" s="26" t="n">
        <x:f>(A149/$N$3)^2</x:f>
        <x:v>2.8960215717364646</x:v>
      </x:c>
      <x:c r="C149" s="26" t="n">
        <x:f>0-(A149/$N$4)^2</x:f>
        <x:v>-2.6040626129469806</x:v>
      </x:c>
      <x:c r="D149" s="26" t="n">
        <x:f>MIN(B149,$N$5)</x:f>
        <x:v>2.8960215717364646</x:v>
      </x:c>
      <x:c r="E149" s="26" t="n">
        <x:f>IF(A149&lt;=$N$7,MAX(C149,$N$6),MAX(C149,$N$6*($N$8-A149)/($N$8-$N$7)))</x:f>
        <x:v>-1.335213036706943</x:v>
      </x:c>
      <x:c r="F149" s="26" t="n">
        <x:f>IF(A149&lt;=$N$7,1+$N$9*A149/$N$7,$N$10+(A149-$N$7)*($N$12-$N$10)/($N$8-$N$7))</x:f>
        <x:v>4.251835510688347</x:v>
      </x:c>
      <x:c r="G149" s="26" t="n">
        <x:f>IF(A149&lt;=$N$7,1-$N$9*A149/$N$7,$N$11+(A149-$N$7)*($N$13-$N$11)/($N$8-$N$7))</x:f>
        <x:v>-2.251835510688347</x:v>
      </x:c>
      <x:c r="H149" s="26" t="n">
        <x:f>MIN(F149,B149)</x:f>
        <x:v>2.8960215717364646</x:v>
      </x:c>
      <x:c r="I149" s="26" t="n">
        <x:f>MAX(G149,C149)</x:f>
        <x:v>-2.251835510688347</x:v>
      </x:c>
      <x:c r="J149" s="26" t="n">
        <x:f>MAX(D149,H149)</x:f>
        <x:v>2.8960215717364646</x:v>
      </x:c>
      <x:c r="K149" s="26" t="n">
        <x:f>MIN(E149,I149)</x:f>
        <x:v>-2.251835510688347</x:v>
      </x:c>
      <x:c r="P149" s="26" t="n">
        <x:v>72</x:v>
      </x:c>
      <x:c r="Q149" s="26" t="n">
        <x:v>2.8960215717364646</x:v>
      </x:c>
      <x:c r="R149" s="26" t="n">
        <x:v>-2.251835510688347</x:v>
      </x:c>
      <x:c r="S149" s="26" t="n">
        <x:v>2.8960215717364646</x:v>
      </x:c>
      <x:c r="T149" s="26" t="n">
        <x:v>-1.335213036706943</x:v>
      </x:c>
      <x:c r="U149" s="26" t="n">
        <x:v>4.251835510688347</x:v>
      </x:c>
      <x:c r="V149" s="26" t="n">
        <x:v>-2.251835510688347</x:v>
      </x:c>
    </x:row>
    <x:row r="150">
      <x:c r="A150" s="26" t="n">
        <x:v>72.5</x:v>
      </x:c>
      <x:c r="B150" s="26" t="n">
        <x:f>(A150/$N$3)^2</x:f>
        <x:v>2.9363837551002687</x:v>
      </x:c>
      <x:c r="C150" s="26" t="n">
        <x:f>0-(A150/$N$4)^2</x:f>
        <x:v>-2.6403557309611436</x:v>
      </x:c>
      <x:c r="D150" s="26" t="n">
        <x:f>MIN(B150,$N$5)</x:f>
        <x:v>2.9363837551002687</x:v>
      </x:c>
      <x:c r="E150" s="26" t="n">
        <x:f>IF(A150&lt;=$N$7,MAX(C150,$N$6),MAX(C150,$N$6*($N$8-A150)/($N$8-$N$7)))</x:f>
        <x:v>-1.2915147255313282</x:v>
      </x:c>
      <x:c r="F150" s="26" t="n">
        <x:f>IF(A150&lt;=$N$7,1+$N$9*A150/$N$7,$N$10+(A150-$N$7)*($N$12-$N$10)/($N$8-$N$7))</x:f>
        <x:v>4.215045107116017</x:v>
      </x:c>
      <x:c r="G150" s="26" t="n">
        <x:f>IF(A150&lt;=$N$7,1-$N$9*A150/$N$7,$N$11+(A150-$N$7)*($N$13-$N$11)/($N$8-$N$7))</x:f>
        <x:v>-2.2150451071160173</x:v>
      </x:c>
      <x:c r="H150" s="26" t="n">
        <x:f>MIN(F150,B150)</x:f>
        <x:v>2.9363837551002687</x:v>
      </x:c>
      <x:c r="I150" s="26" t="n">
        <x:f>MAX(G150,C150)</x:f>
        <x:v>-2.2150451071160173</x:v>
      </x:c>
      <x:c r="J150" s="26" t="n">
        <x:f>MAX(D150,H150)</x:f>
        <x:v>2.9363837551002687</x:v>
      </x:c>
      <x:c r="K150" s="26" t="n">
        <x:f>MIN(E150,I150)</x:f>
        <x:v>-2.2150451071160173</x:v>
      </x:c>
      <x:c r="P150" s="26" t="n">
        <x:v>72.5</x:v>
      </x:c>
      <x:c r="Q150" s="26" t="n">
        <x:v>2.9363837551002687</x:v>
      </x:c>
      <x:c r="R150" s="26" t="n">
        <x:v>-2.2150451071160173</x:v>
      </x:c>
      <x:c r="S150" s="26" t="n">
        <x:v>2.9363837551002687</x:v>
      </x:c>
      <x:c r="T150" s="26" t="n">
        <x:v>-1.2915147255313282</x:v>
      </x:c>
      <x:c r="U150" s="26" t="n">
        <x:v>4.215045107116017</x:v>
      </x:c>
      <x:c r="V150" s="26" t="n">
        <x:v>-2.2150451071160173</x:v>
      </x:c>
    </x:row>
    <x:row r="151">
      <x:c r="A151" s="26" t="n">
        <x:v>73</x:v>
      </x:c>
      <x:c r="B151" s="26" t="n">
        <x:f>(A151/$N$3)^2</x:f>
        <x:v>2.977025261532334</x:v>
      </x:c>
      <x:c r="C151" s="26" t="n">
        <x:f>0-(A151/$N$4)^2</x:f>
        <x:v>-2.676900012421771</x:v>
      </x:c>
      <x:c r="D151" s="26" t="n">
        <x:f>MIN(B151,$N$5)</x:f>
        <x:v>2.977025261532334</x:v>
      </x:c>
      <x:c r="E151" s="26" t="n">
        <x:f>IF(A151&lt;=$N$7,MAX(C151,$N$6),MAX(C151,$N$6*($N$8-A151)/($N$8-$N$7)))</x:f>
        <x:v>-1.247816414355713</x:v>
      </x:c>
      <x:c r="F151" s="26" t="n">
        <x:f>IF(A151&lt;=$N$7,1+$N$9*A151/$N$7,$N$10+(A151-$N$7)*($N$12-$N$10)/($N$8-$N$7))</x:f>
        <x:v>4.178254703543687</x:v>
      </x:c>
      <x:c r="G151" s="26" t="n">
        <x:f>IF(A151&lt;=$N$7,1-$N$9*A151/$N$7,$N$11+(A151-$N$7)*($N$13-$N$11)/($N$8-$N$7))</x:f>
        <x:v>-2.178254703543687</x:v>
      </x:c>
      <x:c r="H151" s="26" t="n">
        <x:f>MIN(F151,B151)</x:f>
        <x:v>2.977025261532334</x:v>
      </x:c>
      <x:c r="I151" s="26" t="n">
        <x:f>MAX(G151,C151)</x:f>
        <x:v>-2.178254703543687</x:v>
      </x:c>
      <x:c r="J151" s="26" t="n">
        <x:f>MAX(D151,H151)</x:f>
        <x:v>2.977025261532334</x:v>
      </x:c>
      <x:c r="K151" s="26" t="n">
        <x:f>MIN(E151,I151)</x:f>
        <x:v>-2.178254703543687</x:v>
      </x:c>
      <x:c r="P151" s="26" t="n">
        <x:v>73</x:v>
      </x:c>
      <x:c r="Q151" s="26" t="n">
        <x:v>2.977025261532334</x:v>
      </x:c>
      <x:c r="R151" s="26" t="n">
        <x:v>-2.178254703543687</x:v>
      </x:c>
      <x:c r="S151" s="26" t="n">
        <x:v>2.977025261532334</x:v>
      </x:c>
      <x:c r="T151" s="26" t="n">
        <x:v>-1.247816414355713</x:v>
      </x:c>
      <x:c r="U151" s="26" t="n">
        <x:v>4.178254703543687</x:v>
      </x:c>
      <x:c r="V151" s="26" t="n">
        <x:v>-2.178254703543687</x:v>
      </x:c>
    </x:row>
    <x:row r="152">
      <x:c r="A152" s="26" t="n">
        <x:v>73.5</x:v>
      </x:c>
      <x:c r="B152" s="26" t="n">
        <x:f>(A152/$N$3)^2</x:f>
        <x:v>3.017946091032661</x:v>
      </x:c>
      <x:c r="C152" s="26" t="n">
        <x:f>0-(A152/$N$4)^2</x:f>
        <x:v>-2.7136954573288636</x:v>
      </x:c>
      <x:c r="D152" s="26" t="n">
        <x:f>MIN(B152,$N$5)</x:f>
        <x:v>3.017946091032661</x:v>
      </x:c>
      <x:c r="E152" s="26" t="n">
        <x:f>IF(A152&lt;=$N$7,MAX(C152,$N$6),MAX(C152,$N$6*($N$8-A152)/($N$8-$N$7)))</x:f>
        <x:v>-1.204118103180098</x:v>
      </x:c>
      <x:c r="F152" s="26" t="n">
        <x:f>IF(A152&lt;=$N$7,1+$N$9*A152/$N$7,$N$10+(A152-$N$7)*($N$12-$N$10)/($N$8-$N$7))</x:f>
        <x:v>4.141464299971357</x:v>
      </x:c>
      <x:c r="G152" s="26" t="n">
        <x:f>IF(A152&lt;=$N$7,1-$N$9*A152/$N$7,$N$11+(A152-$N$7)*($N$13-$N$11)/($N$8-$N$7))</x:f>
        <x:v>-2.1414642999713576</x:v>
      </x:c>
      <x:c r="H152" s="26" t="n">
        <x:f>MIN(F152,B152)</x:f>
        <x:v>3.017946091032661</x:v>
      </x:c>
      <x:c r="I152" s="26" t="n">
        <x:f>MAX(G152,C152)</x:f>
        <x:v>-2.1414642999713576</x:v>
      </x:c>
      <x:c r="J152" s="26" t="n">
        <x:f>MAX(D152,H152)</x:f>
        <x:v>3.017946091032661</x:v>
      </x:c>
      <x:c r="K152" s="26" t="n">
        <x:f>MIN(E152,I152)</x:f>
        <x:v>-2.1414642999713576</x:v>
      </x:c>
      <x:c r="P152" s="26" t="n">
        <x:v>73.5</x:v>
      </x:c>
      <x:c r="Q152" s="26" t="n">
        <x:v>3.017946091032661</x:v>
      </x:c>
      <x:c r="R152" s="26" t="n">
        <x:v>-2.1414642999713576</x:v>
      </x:c>
      <x:c r="S152" s="26" t="n">
        <x:v>3.017946091032661</x:v>
      </x:c>
      <x:c r="T152" s="26" t="n">
        <x:v>-1.204118103180098</x:v>
      </x:c>
      <x:c r="U152" s="26" t="n">
        <x:v>4.141464299971357</x:v>
      </x:c>
      <x:c r="V152" s="26" t="n">
        <x:v>-2.1414642999713576</x:v>
      </x:c>
    </x:row>
    <x:row r="153">
      <x:c r="A153" s="26" t="n">
        <x:v>74</x:v>
      </x:c>
      <x:c r="B153" s="26" t="n">
        <x:f>(A153/$N$3)^2</x:f>
        <x:v>3.0591462436012495</x:v>
      </x:c>
      <x:c r="C153" s="26" t="n">
        <x:f>0-(A153/$N$4)^2</x:f>
        <x:v>-2.75074206568242</x:v>
      </x:c>
      <x:c r="D153" s="26" t="n">
        <x:f>MIN(B153,$N$5)</x:f>
        <x:v>3.0591462436012495</x:v>
      </x:c>
      <x:c r="E153" s="26" t="n">
        <x:f>IF(A153&lt;=$N$7,MAX(C153,$N$6),MAX(C153,$N$6*($N$8-A153)/($N$8-$N$7)))</x:f>
        <x:v>-1.160419792004483</x:v>
      </x:c>
      <x:c r="F153" s="26" t="n">
        <x:f>IF(A153&lt;=$N$7,1+$N$9*A153/$N$7,$N$10+(A153-$N$7)*($N$12-$N$10)/($N$8-$N$7))</x:f>
        <x:v>4.104673896399028</x:v>
      </x:c>
      <x:c r="G153" s="26" t="n">
        <x:f>IF(A153&lt;=$N$7,1-$N$9*A153/$N$7,$N$11+(A153-$N$7)*($N$13-$N$11)/($N$8-$N$7))</x:f>
        <x:v>-2.1046738963990275</x:v>
      </x:c>
      <x:c r="H153" s="26" t="n">
        <x:f>MIN(F153,B153)</x:f>
        <x:v>3.0591462436012495</x:v>
      </x:c>
      <x:c r="I153" s="26" t="n">
        <x:f>MAX(G153,C153)</x:f>
        <x:v>-2.1046738963990275</x:v>
      </x:c>
      <x:c r="J153" s="26" t="n">
        <x:f>MAX(D153,H153)</x:f>
        <x:v>3.0591462436012495</x:v>
      </x:c>
      <x:c r="K153" s="26" t="n">
        <x:f>MIN(E153,I153)</x:f>
        <x:v>-2.1046738963990275</x:v>
      </x:c>
      <x:c r="P153" s="26" t="n">
        <x:v>74</x:v>
      </x:c>
      <x:c r="Q153" s="26" t="n">
        <x:v>3.0591462436012495</x:v>
      </x:c>
      <x:c r="R153" s="26" t="n">
        <x:v>-2.1046738963990275</x:v>
      </x:c>
      <x:c r="S153" s="26" t="n">
        <x:v>3.0591462436012495</x:v>
      </x:c>
      <x:c r="T153" s="26" t="n">
        <x:v>-1.160419792004483</x:v>
      </x:c>
      <x:c r="U153" s="26" t="n">
        <x:v>4.104673896399028</x:v>
      </x:c>
      <x:c r="V153" s="26" t="n">
        <x:v>-2.1046738963990275</x:v>
      </x:c>
    </x:row>
    <x:row r="154">
      <x:c r="A154" s="26" t="n">
        <x:v>74.5</x:v>
      </x:c>
      <x:c r="B154" s="26" t="n">
        <x:f>(A154/$N$3)^2</x:f>
        <x:v>3.1006257192381006</x:v>
      </x:c>
      <x:c r="C154" s="26" t="n">
        <x:f>0-(A154/$N$4)^2</x:f>
        <x:v>-2.7880398374824424</x:v>
      </x:c>
      <x:c r="D154" s="26" t="n">
        <x:f>MIN(B154,$N$5)</x:f>
        <x:v>3.1006257192381006</x:v>
      </x:c>
      <x:c r="E154" s="26" t="n">
        <x:f>IF(A154&lt;=$N$7,MAX(C154,$N$6),MAX(C154,$N$6*($N$8-A154)/($N$8-$N$7)))</x:f>
        <x:v>-1.116721480828868</x:v>
      </x:c>
      <x:c r="F154" s="26" t="n">
        <x:f>IF(A154&lt;=$N$7,1+$N$9*A154/$N$7,$N$10+(A154-$N$7)*($N$12-$N$10)/($N$8-$N$7))</x:f>
        <x:v>4.067883492826698</x:v>
      </x:c>
      <x:c r="G154" s="26" t="n">
        <x:f>IF(A154&lt;=$N$7,1-$N$9*A154/$N$7,$N$11+(A154-$N$7)*($N$13-$N$11)/($N$8-$N$7))</x:f>
        <x:v>-2.067883492826698</x:v>
      </x:c>
      <x:c r="H154" s="26" t="n">
        <x:f>MIN(F154,B154)</x:f>
        <x:v>3.1006257192381006</x:v>
      </x:c>
      <x:c r="I154" s="26" t="n">
        <x:f>MAX(G154,C154)</x:f>
        <x:v>-2.067883492826698</x:v>
      </x:c>
      <x:c r="J154" s="26" t="n">
        <x:f>MAX(D154,H154)</x:f>
        <x:v>3.1006257192381006</x:v>
      </x:c>
      <x:c r="K154" s="26" t="n">
        <x:f>MIN(E154,I154)</x:f>
        <x:v>-2.067883492826698</x:v>
      </x:c>
      <x:c r="P154" s="26" t="n">
        <x:v>74.5</x:v>
      </x:c>
      <x:c r="Q154" s="26" t="n">
        <x:v>3.1006257192381006</x:v>
      </x:c>
      <x:c r="R154" s="26" t="n">
        <x:v>-2.067883492826698</x:v>
      </x:c>
      <x:c r="S154" s="26" t="n">
        <x:v>3.1006257192381006</x:v>
      </x:c>
      <x:c r="T154" s="26" t="n">
        <x:v>-1.116721480828868</x:v>
      </x:c>
      <x:c r="U154" s="26" t="n">
        <x:v>4.067883492826698</x:v>
      </x:c>
      <x:c r="V154" s="26" t="n">
        <x:v>-2.067883492826698</x:v>
      </x:c>
    </x:row>
    <x:row r="155">
      <x:c r="A155" s="26" t="n">
        <x:v>75</x:v>
      </x:c>
      <x:c r="B155" s="26" t="n">
        <x:f>(A155/$N$3)^2</x:f>
        <x:v>3.142384517943212</x:v>
      </x:c>
      <x:c r="C155" s="26" t="n">
        <x:f>0-(A155/$N$4)^2</x:f>
        <x:v>-2.825588772728929</x:v>
      </x:c>
      <x:c r="D155" s="26" t="n">
        <x:f>MIN(B155,$N$5)</x:f>
        <x:v>3.142384517943212</x:v>
      </x:c>
      <x:c r="E155" s="26" t="n">
        <x:f>IF(A155&lt;=$N$7,MAX(C155,$N$6),MAX(C155,$N$6*($N$8-A155)/($N$8-$N$7)))</x:f>
        <x:v>-1.073023169653253</x:v>
      </x:c>
      <x:c r="F155" s="26" t="n">
        <x:f>IF(A155&lt;=$N$7,1+$N$9*A155/$N$7,$N$10+(A155-$N$7)*($N$12-$N$10)/($N$8-$N$7))</x:f>
        <x:v>4.031093089254368</x:v>
      </x:c>
      <x:c r="G155" s="26" t="n">
        <x:f>IF(A155&lt;=$N$7,1-$N$9*A155/$N$7,$N$11+(A155-$N$7)*($N$13-$N$11)/($N$8-$N$7))</x:f>
        <x:v>-2.0310930892543677</x:v>
      </x:c>
      <x:c r="H155" s="26" t="n">
        <x:f>MIN(F155,B155)</x:f>
        <x:v>3.142384517943212</x:v>
      </x:c>
      <x:c r="I155" s="26" t="n">
        <x:f>MAX(G155,C155)</x:f>
        <x:v>-2.0310930892543677</x:v>
      </x:c>
      <x:c r="J155" s="26" t="n">
        <x:f>MAX(D155,H155)</x:f>
        <x:v>3.142384517943212</x:v>
      </x:c>
      <x:c r="K155" s="26" t="n">
        <x:f>MIN(E155,I155)</x:f>
        <x:v>-2.0310930892543677</x:v>
      </x:c>
      <x:c r="P155" s="26" t="n">
        <x:v>75</x:v>
      </x:c>
      <x:c r="Q155" s="26" t="n">
        <x:v>3.142384517943212</x:v>
      </x:c>
      <x:c r="R155" s="26" t="n">
        <x:v>-2.0310930892543677</x:v>
      </x:c>
      <x:c r="S155" s="26" t="n">
        <x:v>3.142384517943212</x:v>
      </x:c>
      <x:c r="T155" s="26" t="n">
        <x:v>-1.073023169653253</x:v>
      </x:c>
      <x:c r="U155" s="26" t="n">
        <x:v>4.031093089254368</x:v>
      </x:c>
      <x:c r="V155" s="26" t="n">
        <x:v>-2.0310930892543677</x:v>
      </x:c>
    </x:row>
    <x:row r="156">
      <x:c r="A156" s="26" t="n">
        <x:v>75.5</x:v>
      </x:c>
      <x:c r="B156" s="26" t="n">
        <x:f>(A156/$N$3)^2</x:f>
        <x:v>3.184422639716586</x:v>
      </x:c>
      <x:c r="C156" s="26" t="n">
        <x:f>0-(A156/$N$4)^2</x:f>
        <x:v>-2.863388871421881</x:v>
      </x:c>
      <x:c r="D156" s="26" t="n">
        <x:f>MIN(B156,$N$5)</x:f>
        <x:v>3.184422639716586</x:v>
      </x:c>
      <x:c r="E156" s="26" t="n">
        <x:f>IF(A156&lt;=$N$7,MAX(C156,$N$6),MAX(C156,$N$6*($N$8-A156)/($N$8-$N$7)))</x:f>
        <x:v>-1.029324858477638</x:v>
      </x:c>
      <x:c r="F156" s="26" t="n">
        <x:f>IF(A156&lt;=$N$7,1+$N$9*A156/$N$7,$N$10+(A156-$N$7)*($N$12-$N$10)/($N$8-$N$7))</x:f>
        <x:v>3.994302685682038</x:v>
      </x:c>
      <x:c r="G156" s="26" t="n">
        <x:f>IF(A156&lt;=$N$7,1-$N$9*A156/$N$7,$N$11+(A156-$N$7)*($N$13-$N$11)/($N$8-$N$7))</x:f>
        <x:v>-1.994302685682038</x:v>
      </x:c>
      <x:c r="H156" s="26" t="n">
        <x:f>MIN(F156,B156)</x:f>
        <x:v>3.184422639716586</x:v>
      </x:c>
      <x:c r="I156" s="26" t="n">
        <x:f>MAX(G156,C156)</x:f>
        <x:v>-1.994302685682038</x:v>
      </x:c>
      <x:c r="J156" s="26" t="n">
        <x:f>MAX(D156,H156)</x:f>
        <x:v>3.184422639716586</x:v>
      </x:c>
      <x:c r="K156" s="26" t="n">
        <x:f>MIN(E156,I156)</x:f>
        <x:v>-1.994302685682038</x:v>
      </x:c>
      <x:c r="P156" s="26" t="n">
        <x:v>75.5</x:v>
      </x:c>
      <x:c r="Q156" s="26" t="n">
        <x:v>3.184422639716586</x:v>
      </x:c>
      <x:c r="R156" s="26" t="n">
        <x:v>-1.994302685682038</x:v>
      </x:c>
      <x:c r="S156" s="26" t="n">
        <x:v>3.184422639716586</x:v>
      </x:c>
      <x:c r="T156" s="26" t="n">
        <x:v>-1.029324858477638</x:v>
      </x:c>
      <x:c r="U156" s="26" t="n">
        <x:v>3.994302685682038</x:v>
      </x:c>
      <x:c r="V156" s="26" t="n">
        <x:v>-1.994302685682038</x:v>
      </x:c>
    </x:row>
    <x:row r="157">
      <x:c r="A157" s="26" t="n">
        <x:v>76</x:v>
      </x:c>
      <x:c r="B157" s="26" t="n">
        <x:f>(A157/$N$3)^2</x:f>
        <x:v>3.2267400845582217</x:v>
      </x:c>
      <x:c r="C157" s="26" t="n">
        <x:f>0-(A157/$N$4)^2</x:f>
        <x:v>-2.9014401335612967</x:v>
      </x:c>
      <x:c r="D157" s="26" t="n">
        <x:f>MIN(B157,$N$5)</x:f>
        <x:v>3.2267400845582217</x:v>
      </x:c>
      <x:c r="E157" s="26" t="n">
        <x:f>IF(A157&lt;=$N$7,MAX(C157,$N$6),MAX(C157,$N$6*($N$8-A157)/($N$8-$N$7)))</x:f>
        <x:v>-0.985626547302023</x:v>
      </x:c>
      <x:c r="F157" s="26" t="n">
        <x:f>IF(A157&lt;=$N$7,1+$N$9*A157/$N$7,$N$10+(A157-$N$7)*($N$12-$N$10)/($N$8-$N$7))</x:f>
        <x:v>3.957512282109708</x:v>
      </x:c>
      <x:c r="G157" s="26" t="n">
        <x:f>IF(A157&lt;=$N$7,1-$N$9*A157/$N$7,$N$11+(A157-$N$7)*($N$13-$N$11)/($N$8-$N$7))</x:f>
        <x:v>-1.957512282109708</x:v>
      </x:c>
      <x:c r="H157" s="26" t="n">
        <x:f>MIN(F157,B157)</x:f>
        <x:v>3.2267400845582217</x:v>
      </x:c>
      <x:c r="I157" s="26" t="n">
        <x:f>MAX(G157,C157)</x:f>
        <x:v>-1.957512282109708</x:v>
      </x:c>
      <x:c r="J157" s="26" t="n">
        <x:f>MAX(D157,H157)</x:f>
        <x:v>3.2267400845582217</x:v>
      </x:c>
      <x:c r="K157" s="26" t="n">
        <x:f>MIN(E157,I157)</x:f>
        <x:v>-1.957512282109708</x:v>
      </x:c>
      <x:c r="P157" s="26" t="n">
        <x:v>76</x:v>
      </x:c>
      <x:c r="Q157" s="26" t="n">
        <x:v>3.2267400845582217</x:v>
      </x:c>
      <x:c r="R157" s="26" t="n">
        <x:v>-1.957512282109708</x:v>
      </x:c>
      <x:c r="S157" s="26" t="n">
        <x:v>3.2267400845582217</x:v>
      </x:c>
      <x:c r="T157" s="26" t="n">
        <x:v>-0.985626547302023</x:v>
      </x:c>
      <x:c r="U157" s="26" t="n">
        <x:v>3.957512282109708</x:v>
      </x:c>
      <x:c r="V157" s="26" t="n">
        <x:v>-1.957512282109708</x:v>
      </x:c>
    </x:row>
    <x:row r="158">
      <x:c r="A158" s="26" t="n">
        <x:v>76.5</x:v>
      </x:c>
      <x:c r="B158" s="26" t="n">
        <x:f>(A158/$N$3)^2</x:f>
        <x:v>3.269336852468118</x:v>
      </x:c>
      <x:c r="C158" s="26" t="n">
        <x:f>0-(A158/$N$4)^2</x:f>
        <x:v>-2.9397425591471773</x:v>
      </x:c>
      <x:c r="D158" s="26" t="n">
        <x:f>MIN(B158,$N$5)</x:f>
        <x:v>3.269336852468118</x:v>
      </x:c>
      <x:c r="E158" s="26" t="n">
        <x:f>IF(A158&lt;=$N$7,MAX(C158,$N$6),MAX(C158,$N$6*($N$8-A158)/($N$8-$N$7)))</x:f>
        <x:v>-0.941928236126408</x:v>
      </x:c>
      <x:c r="F158" s="26" t="n">
        <x:f>IF(A158&lt;=$N$7,1+$N$9*A158/$N$7,$N$10+(A158-$N$7)*($N$12-$N$10)/($N$8-$N$7))</x:f>
        <x:v>3.9207218785373783</x:v>
      </x:c>
      <x:c r="G158" s="26" t="n">
        <x:f>IF(A158&lt;=$N$7,1-$N$9*A158/$N$7,$N$11+(A158-$N$7)*($N$13-$N$11)/($N$8-$N$7))</x:f>
        <x:v>-1.9207218785373783</x:v>
      </x:c>
      <x:c r="H158" s="26" t="n">
        <x:f>MIN(F158,B158)</x:f>
        <x:v>3.269336852468118</x:v>
      </x:c>
      <x:c r="I158" s="26" t="n">
        <x:f>MAX(G158,C158)</x:f>
        <x:v>-1.9207218785373783</x:v>
      </x:c>
      <x:c r="J158" s="26" t="n">
        <x:f>MAX(D158,H158)</x:f>
        <x:v>3.269336852468118</x:v>
      </x:c>
      <x:c r="K158" s="26" t="n">
        <x:f>MIN(E158,I158)</x:f>
        <x:v>-1.9207218785373783</x:v>
      </x:c>
      <x:c r="P158" s="26" t="n">
        <x:v>76.5</x:v>
      </x:c>
      <x:c r="Q158" s="26" t="n">
        <x:v>3.269336852468118</x:v>
      </x:c>
      <x:c r="R158" s="26" t="n">
        <x:v>-1.9207218785373783</x:v>
      </x:c>
      <x:c r="S158" s="26" t="n">
        <x:v>3.269336852468118</x:v>
      </x:c>
      <x:c r="T158" s="26" t="n">
        <x:v>-0.941928236126408</x:v>
      </x:c>
      <x:c r="U158" s="26" t="n">
        <x:v>3.9207218785373783</x:v>
      </x:c>
      <x:c r="V158" s="26" t="n">
        <x:v>-1.9207218785373783</x:v>
      </x:c>
    </x:row>
    <x:row r="159">
      <x:c r="A159" s="26" t="n">
        <x:v>77</x:v>
      </x:c>
      <x:c r="B159" s="26" t="n">
        <x:f>(A159/$N$3)^2</x:f>
        <x:v>3.312212943446277</x:v>
      </x:c>
      <x:c r="C159" s="26" t="n">
        <x:f>0-(A159/$N$4)^2</x:f>
        <x:v>-2.9782961481795236</x:v>
      </x:c>
      <x:c r="D159" s="26" t="n">
        <x:f>MIN(B159,$N$5)</x:f>
        <x:v>3.312212943446277</x:v>
      </x:c>
      <x:c r="E159" s="26" t="n">
        <x:f>IF(A159&lt;=$N$7,MAX(C159,$N$6),MAX(C159,$N$6*($N$8-A159)/($N$8-$N$7)))</x:f>
        <x:v>-0.8982299249507929</x:v>
      </x:c>
      <x:c r="F159" s="26" t="n">
        <x:f>IF(A159&lt;=$N$7,1+$N$9*A159/$N$7,$N$10+(A159-$N$7)*($N$12-$N$10)/($N$8-$N$7))</x:f>
        <x:v>3.883931474965048</x:v>
      </x:c>
      <x:c r="G159" s="26" t="n">
        <x:f>IF(A159&lt;=$N$7,1-$N$9*A159/$N$7,$N$11+(A159-$N$7)*($N$13-$N$11)/($N$8-$N$7))</x:f>
        <x:v>-1.8839314749650482</x:v>
      </x:c>
      <x:c r="H159" s="26" t="n">
        <x:f>MIN(F159,B159)</x:f>
        <x:v>3.312212943446277</x:v>
      </x:c>
      <x:c r="I159" s="26" t="n">
        <x:f>MAX(G159,C159)</x:f>
        <x:v>-1.8839314749650482</x:v>
      </x:c>
      <x:c r="J159" s="26" t="n">
        <x:f>MAX(D159,H159)</x:f>
        <x:v>3.312212943446277</x:v>
      </x:c>
      <x:c r="K159" s="26" t="n">
        <x:f>MIN(E159,I159)</x:f>
        <x:v>-1.8839314749650482</x:v>
      </x:c>
      <x:c r="P159" s="26" t="n">
        <x:v>77</x:v>
      </x:c>
      <x:c r="Q159" s="26" t="n">
        <x:v>3.312212943446277</x:v>
      </x:c>
      <x:c r="R159" s="26" t="n">
        <x:v>-1.8839314749650482</x:v>
      </x:c>
      <x:c r="S159" s="26" t="n">
        <x:v>3.312212943446277</x:v>
      </x:c>
      <x:c r="T159" s="26" t="n">
        <x:v>-0.8982299249507929</x:v>
      </x:c>
      <x:c r="U159" s="26" t="n">
        <x:v>3.883931474965048</x:v>
      </x:c>
      <x:c r="V159" s="26" t="n">
        <x:v>-1.8839314749650482</x:v>
      </x:c>
    </x:row>
    <x:row r="160">
      <x:c r="A160" s="26" t="n">
        <x:v>77.5</x:v>
      </x:c>
      <x:c r="B160" s="26" t="n">
        <x:f>(A160/$N$3)^2</x:f>
        <x:v>3.3553683574926962</x:v>
      </x:c>
      <x:c r="C160" s="26" t="n">
        <x:f>0-(A160/$N$4)^2</x:f>
        <x:v>-3.017100900658334</x:v>
      </x:c>
      <x:c r="D160" s="26" t="n">
        <x:f>MIN(B160,$N$5)</x:f>
        <x:v>3.3553683574926962</x:v>
      </x:c>
      <x:c r="E160" s="26" t="n">
        <x:f>IF(A160&lt;=$N$7,MAX(C160,$N$6),MAX(C160,$N$6*($N$8-A160)/($N$8-$N$7)))</x:f>
        <x:v>-0.854531613775178</x:v>
      </x:c>
      <x:c r="F160" s="26" t="n">
        <x:f>IF(A160&lt;=$N$7,1+$N$9*A160/$N$7,$N$10+(A160-$N$7)*($N$12-$N$10)/($N$8-$N$7))</x:f>
        <x:v>3.8471410713927185</x:v>
      </x:c>
      <x:c r="G160" s="26" t="n">
        <x:f>IF(A160&lt;=$N$7,1-$N$9*A160/$N$7,$N$11+(A160-$N$7)*($N$13-$N$11)/($N$8-$N$7))</x:f>
        <x:v>-1.8471410713927185</x:v>
      </x:c>
      <x:c r="H160" s="26" t="n">
        <x:f>MIN(F160,B160)</x:f>
        <x:v>3.3553683574926962</x:v>
      </x:c>
      <x:c r="I160" s="26" t="n">
        <x:f>MAX(G160,C160)</x:f>
        <x:v>-1.8471410713927185</x:v>
      </x:c>
      <x:c r="J160" s="26" t="n">
        <x:f>MAX(D160,H160)</x:f>
        <x:v>3.3553683574926962</x:v>
      </x:c>
      <x:c r="K160" s="26" t="n">
        <x:f>MIN(E160,I160)</x:f>
        <x:v>-1.8471410713927185</x:v>
      </x:c>
      <x:c r="P160" s="26" t="n">
        <x:v>77.5</x:v>
      </x:c>
      <x:c r="Q160" s="26" t="n">
        <x:v>3.3553683574926962</x:v>
      </x:c>
      <x:c r="R160" s="26" t="n">
        <x:v>-1.8471410713927185</x:v>
      </x:c>
      <x:c r="S160" s="26" t="n">
        <x:v>3.3553683574926962</x:v>
      </x:c>
      <x:c r="T160" s="26" t="n">
        <x:v>-0.854531613775178</x:v>
      </x:c>
      <x:c r="U160" s="26" t="n">
        <x:v>3.8471410713927185</x:v>
      </x:c>
      <x:c r="V160" s="26" t="n">
        <x:v>-1.8471410713927185</x:v>
      </x:c>
    </x:row>
    <x:row r="161">
      <x:c r="A161" s="26" t="n">
        <x:v>78</x:v>
      </x:c>
      <x:c r="B161" s="26" t="n">
        <x:f>(A161/$N$3)^2</x:f>
        <x:v>3.3988030946073784</x:v>
      </x:c>
      <x:c r="C161" s="26" t="n">
        <x:f>0-(A161/$N$4)^2</x:f>
        <x:v>-3.0561568165836097</x:v>
      </x:c>
      <x:c r="D161" s="26" t="n">
        <x:f>MIN(B161,$N$5)</x:f>
        <x:v>3.3988030946073784</x:v>
      </x:c>
      <x:c r="E161" s="26" t="n">
        <x:f>IF(A161&lt;=$N$7,MAX(C161,$N$6),MAX(C161,$N$6*($N$8-A161)/($N$8-$N$7)))</x:f>
        <x:v>-0.810833302599563</x:v>
      </x:c>
      <x:c r="F161" s="26" t="n">
        <x:f>IF(A161&lt;=$N$7,1+$N$9*A161/$N$7,$N$10+(A161-$N$7)*($N$12-$N$10)/($N$8-$N$7))</x:f>
        <x:v>3.810350667820389</x:v>
      </x:c>
      <x:c r="G161" s="26" t="n">
        <x:f>IF(A161&lt;=$N$7,1-$N$9*A161/$N$7,$N$11+(A161-$N$7)*($N$13-$N$11)/($N$8-$N$7))</x:f>
        <x:v>-1.8103506678203887</x:v>
      </x:c>
      <x:c r="H161" s="26" t="n">
        <x:f>MIN(F161,B161)</x:f>
        <x:v>3.3988030946073784</x:v>
      </x:c>
      <x:c r="I161" s="26" t="n">
        <x:f>MAX(G161,C161)</x:f>
        <x:v>-1.8103506678203887</x:v>
      </x:c>
      <x:c r="J161" s="26" t="n">
        <x:f>MAX(D161,H161)</x:f>
        <x:v>3.3988030946073784</x:v>
      </x:c>
      <x:c r="K161" s="26" t="n">
        <x:f>MIN(E161,I161)</x:f>
        <x:v>-1.8103506678203887</x:v>
      </x:c>
      <x:c r="P161" s="26" t="n">
        <x:v>78</x:v>
      </x:c>
      <x:c r="Q161" s="26" t="n">
        <x:v>3.3988030946073784</x:v>
      </x:c>
      <x:c r="R161" s="26" t="n">
        <x:v>-1.8103506678203887</x:v>
      </x:c>
      <x:c r="S161" s="26" t="n">
        <x:v>3.3988030946073784</x:v>
      </x:c>
      <x:c r="T161" s="26" t="n">
        <x:v>-0.810833302599563</x:v>
      </x:c>
      <x:c r="U161" s="26" t="n">
        <x:v>3.810350667820389</x:v>
      </x:c>
      <x:c r="V161" s="26" t="n">
        <x:v>-1.8103506678203887</x:v>
      </x:c>
    </x:row>
    <x:row r="162">
      <x:c r="A162" s="26" t="n">
        <x:v>78.5</x:v>
      </x:c>
      <x:c r="B162" s="26" t="n">
        <x:f>(A162/$N$3)^2</x:f>
        <x:v>3.442517154790322</x:v>
      </x:c>
      <x:c r="C162" s="26" t="n">
        <x:f>0-(A162/$N$4)^2</x:f>
        <x:v>-3.0954638959553495</x:v>
      </x:c>
      <x:c r="D162" s="26" t="n">
        <x:f>MIN(B162,$N$5)</x:f>
        <x:v>3.442517154790322</x:v>
      </x:c>
      <x:c r="E162" s="26" t="n">
        <x:f>IF(A162&lt;=$N$7,MAX(C162,$N$6),MAX(C162,$N$6*($N$8-A162)/($N$8-$N$7)))</x:f>
        <x:v>-0.7671349914239479</x:v>
      </x:c>
      <x:c r="F162" s="26" t="n">
        <x:f>IF(A162&lt;=$N$7,1+$N$9*A162/$N$7,$N$10+(A162-$N$7)*($N$12-$N$10)/($N$8-$N$7))</x:f>
        <x:v>3.773560264248059</x:v>
      </x:c>
      <x:c r="G162" s="26" t="n">
        <x:f>IF(A162&lt;=$N$7,1-$N$9*A162/$N$7,$N$11+(A162-$N$7)*($N$13-$N$11)/($N$8-$N$7))</x:f>
        <x:v>-1.7735602642480588</x:v>
      </x:c>
      <x:c r="H162" s="26" t="n">
        <x:f>MIN(F162,B162)</x:f>
        <x:v>3.442517154790322</x:v>
      </x:c>
      <x:c r="I162" s="26" t="n">
        <x:f>MAX(G162,C162)</x:f>
        <x:v>-1.7735602642480588</x:v>
      </x:c>
      <x:c r="J162" s="26" t="n">
        <x:f>MAX(D162,H162)</x:f>
        <x:v>3.442517154790322</x:v>
      </x:c>
      <x:c r="K162" s="26" t="n">
        <x:f>MIN(E162,I162)</x:f>
        <x:v>-1.7735602642480588</x:v>
      </x:c>
      <x:c r="P162" s="26" t="n">
        <x:v>78.5</x:v>
      </x:c>
      <x:c r="Q162" s="26" t="n">
        <x:v>3.442517154790322</x:v>
      </x:c>
      <x:c r="R162" s="26" t="n">
        <x:v>-1.7735602642480588</x:v>
      </x:c>
      <x:c r="S162" s="26" t="n">
        <x:v>3.442517154790322</x:v>
      </x:c>
      <x:c r="T162" s="26" t="n">
        <x:v>-0.7671349914239479</x:v>
      </x:c>
      <x:c r="U162" s="26" t="n">
        <x:v>3.773560264248059</x:v>
      </x:c>
      <x:c r="V162" s="26" t="n">
        <x:v>-1.7735602642480588</x:v>
      </x:c>
    </x:row>
    <x:row r="163">
      <x:c r="A163" s="26" t="n">
        <x:v>79</x:v>
      </x:c>
      <x:c r="B163" s="26" t="n">
        <x:f>(A163/$N$3)^2</x:f>
        <x:v>3.4865105380415264</x:v>
      </x:c>
      <x:c r="C163" s="26" t="n">
        <x:f>0-(A163/$N$4)^2</x:f>
        <x:v>-3.135022138773555</x:v>
      </x:c>
      <x:c r="D163" s="26" t="n">
        <x:f>MIN(B163,$N$5)</x:f>
        <x:v>3.4865105380415264</x:v>
      </x:c>
      <x:c r="E163" s="26" t="n">
        <x:f>IF(A163&lt;=$N$7,MAX(C163,$N$6),MAX(C163,$N$6*($N$8-A163)/($N$8-$N$7)))</x:f>
        <x:v>-0.723436680248333</x:v>
      </x:c>
      <x:c r="F163" s="26" t="n">
        <x:f>IF(A163&lt;=$N$7,1+$N$9*A163/$N$7,$N$10+(A163-$N$7)*($N$12-$N$10)/($N$8-$N$7))</x:f>
        <x:v>3.7367698606757287</x:v>
      </x:c>
      <x:c r="G163" s="26" t="n">
        <x:f>IF(A163&lt;=$N$7,1-$N$9*A163/$N$7,$N$11+(A163-$N$7)*($N$13-$N$11)/($N$8-$N$7))</x:f>
        <x:v>-1.7367698606757287</x:v>
      </x:c>
      <x:c r="H163" s="26" t="n">
        <x:f>MIN(F163,B163)</x:f>
        <x:v>3.4865105380415264</x:v>
      </x:c>
      <x:c r="I163" s="26" t="n">
        <x:f>MAX(G163,C163)</x:f>
        <x:v>-1.7367698606757287</x:v>
      </x:c>
      <x:c r="J163" s="26" t="n">
        <x:f>MAX(D163,H163)</x:f>
        <x:v>3.4865105380415264</x:v>
      </x:c>
      <x:c r="K163" s="26" t="n">
        <x:f>MIN(E163,I163)</x:f>
        <x:v>-1.7367698606757287</x:v>
      </x:c>
      <x:c r="P163" s="26" t="n">
        <x:v>79</x:v>
      </x:c>
      <x:c r="Q163" s="26" t="n">
        <x:v>3.4865105380415264</x:v>
      </x:c>
      <x:c r="R163" s="26" t="n">
        <x:v>-1.7367698606757287</x:v>
      </x:c>
      <x:c r="S163" s="26" t="n">
        <x:v>3.4865105380415264</x:v>
      </x:c>
      <x:c r="T163" s="26" t="n">
        <x:v>-0.723436680248333</x:v>
      </x:c>
      <x:c r="U163" s="26" t="n">
        <x:v>3.7367698606757287</x:v>
      </x:c>
      <x:c r="V163" s="26" t="n">
        <x:v>-1.7367698606757287</x:v>
      </x:c>
    </x:row>
    <x:row r="164">
      <x:c r="A164" s="26" t="n">
        <x:v>79.5</x:v>
      </x:c>
      <x:c r="B164" s="26" t="n">
        <x:f>(A164/$N$3)^2</x:f>
        <x:v>3.5307832443609937</x:v>
      </x:c>
      <x:c r="C164" s="26" t="n">
        <x:f>0-(A164/$N$4)^2</x:f>
        <x:v>-3.1748315450382245</x:v>
      </x:c>
      <x:c r="D164" s="26" t="n">
        <x:f>MIN(B164,$N$5)</x:f>
        <x:v>3.5307832443609937</x:v>
      </x:c>
      <x:c r="E164" s="26" t="n">
        <x:f>IF(A164&lt;=$N$7,MAX(C164,$N$6),MAX(C164,$N$6*($N$8-A164)/($N$8-$N$7)))</x:f>
        <x:v>-0.6797383690727179</x:v>
      </x:c>
      <x:c r="F164" s="26" t="n">
        <x:f>IF(A164&lt;=$N$7,1+$N$9*A164/$N$7,$N$10+(A164-$N$7)*($N$12-$N$10)/($N$8-$N$7))</x:f>
        <x:v>3.699979457103399</x:v>
      </x:c>
      <x:c r="G164" s="26" t="n">
        <x:f>IF(A164&lt;=$N$7,1-$N$9*A164/$N$7,$N$11+(A164-$N$7)*($N$13-$N$11)/($N$8-$N$7))</x:f>
        <x:v>-1.699979457103399</x:v>
      </x:c>
      <x:c r="H164" s="26" t="n">
        <x:f>MIN(F164,B164)</x:f>
        <x:v>3.5307832443609937</x:v>
      </x:c>
      <x:c r="I164" s="26" t="n">
        <x:f>MAX(G164,C164)</x:f>
        <x:v>-1.699979457103399</x:v>
      </x:c>
      <x:c r="J164" s="26" t="n">
        <x:f>MAX(D164,H164)</x:f>
        <x:v>3.5307832443609937</x:v>
      </x:c>
      <x:c r="K164" s="26" t="n">
        <x:f>MIN(E164,I164)</x:f>
        <x:v>-1.699979457103399</x:v>
      </x:c>
      <x:c r="P164" s="26" t="n">
        <x:v>79.5</x:v>
      </x:c>
      <x:c r="Q164" s="26" t="n">
        <x:v>3.5307832443609937</x:v>
      </x:c>
      <x:c r="R164" s="26" t="n">
        <x:v>-1.699979457103399</x:v>
      </x:c>
      <x:c r="S164" s="26" t="n">
        <x:v>3.5307832443609937</x:v>
      </x:c>
      <x:c r="T164" s="26" t="n">
        <x:v>-0.6797383690727179</x:v>
      </x:c>
      <x:c r="U164" s="26" t="n">
        <x:v>3.699979457103399</x:v>
      </x:c>
      <x:c r="V164" s="26" t="n">
        <x:v>-1.699979457103399</x:v>
      </x:c>
    </x:row>
    <x:row r="165">
      <x:c r="A165" s="26" t="n">
        <x:v>80</x:v>
      </x:c>
      <x:c r="B165" s="26" t="n">
        <x:f>(A165/$N$3)^2</x:f>
        <x:v>3.5753352737487214</x:v>
      </x:c>
      <x:c r="C165" s="26" t="n">
        <x:f>0-(A165/$N$4)^2</x:f>
        <x:v>-3.2148921147493597</x:v>
      </x:c>
      <x:c r="D165" s="26" t="n">
        <x:f>MIN(B165,$N$5)</x:f>
        <x:v>3.5753352737487214</x:v>
      </x:c>
      <x:c r="E165" s="26" t="n">
        <x:f>IF(A165&lt;=$N$7,MAX(C165,$N$6),MAX(C165,$N$6*($N$8-A165)/($N$8-$N$7)))</x:f>
        <x:v>-0.6360400578971028</x:v>
      </x:c>
      <x:c r="F165" s="26" t="n">
        <x:f>IF(A165&lt;=$N$7,1+$N$9*A165/$N$7,$N$10+(A165-$N$7)*($N$12-$N$10)/($N$8-$N$7))</x:f>
        <x:v>3.6631890535310694</x:v>
      </x:c>
      <x:c r="G165" s="26" t="n">
        <x:f>IF(A165&lt;=$N$7,1-$N$9*A165/$N$7,$N$11+(A165-$N$7)*($N$13-$N$11)/($N$8-$N$7))</x:f>
        <x:v>-1.6631890535310692</x:v>
      </x:c>
      <x:c r="H165" s="26" t="n">
        <x:f>MIN(F165,B165)</x:f>
        <x:v>3.5753352737487214</x:v>
      </x:c>
      <x:c r="I165" s="26" t="n">
        <x:f>MAX(G165,C165)</x:f>
        <x:v>-1.6631890535310692</x:v>
      </x:c>
      <x:c r="J165" s="26" t="n">
        <x:f>MAX(D165,H165)</x:f>
        <x:v>3.5753352737487214</x:v>
      </x:c>
      <x:c r="K165" s="26" t="n">
        <x:f>MIN(E165,I165)</x:f>
        <x:v>-1.6631890535310692</x:v>
      </x:c>
      <x:c r="P165" s="26" t="n">
        <x:v>80</x:v>
      </x:c>
      <x:c r="Q165" s="26" t="n">
        <x:v>3.5753352737487214</x:v>
      </x:c>
      <x:c r="R165" s="26" t="n">
        <x:v>-1.6631890535310692</x:v>
      </x:c>
      <x:c r="S165" s="26" t="n">
        <x:v>3.5753352737487214</x:v>
      </x:c>
      <x:c r="T165" s="26" t="n">
        <x:v>-0.6360400578971028</x:v>
      </x:c>
      <x:c r="U165" s="26" t="n">
        <x:v>3.6631890535310694</x:v>
      </x:c>
      <x:c r="V165" s="26" t="n">
        <x:v>-1.6631890535310692</x:v>
      </x:c>
    </x:row>
    <x:row r="166">
      <x:c r="A166" s="26" t="n">
        <x:v>80.5</x:v>
      </x:c>
      <x:c r="B166" s="26" t="n">
        <x:f>(A166/$N$3)^2</x:f>
        <x:v>3.6201666262047114</x:v>
      </x:c>
      <x:c r="C166" s="26" t="n">
        <x:f>0-(A166/$N$4)^2</x:f>
        <x:v>-3.2552038479069587</x:v>
      </x:c>
      <x:c r="D166" s="26" t="n">
        <x:f>MIN(B166,$N$5)</x:f>
        <x:v>3.6201666262047114</x:v>
      </x:c>
      <x:c r="E166" s="26" t="n">
        <x:f>IF(A166&lt;=$N$7,MAX(C166,$N$6),MAX(C166,$N$6*($N$8-A166)/($N$8-$N$7)))</x:f>
        <x:v>-0.5923417467214879</x:v>
      </x:c>
      <x:c r="F166" s="26" t="n">
        <x:f>IF(A166&lt;=$N$7,1+$N$9*A166/$N$7,$N$10+(A166-$N$7)*($N$12-$N$10)/($N$8-$N$7))</x:f>
        <x:v>3.6263986499587393</x:v>
      </x:c>
      <x:c r="G166" s="26" t="n">
        <x:f>IF(A166&lt;=$N$7,1-$N$9*A166/$N$7,$N$11+(A166-$N$7)*($N$13-$N$11)/($N$8-$N$7))</x:f>
        <x:v>-1.6263986499587393</x:v>
      </x:c>
      <x:c r="H166" s="26" t="n">
        <x:f>MIN(F166,B166)</x:f>
        <x:v>3.6201666262047114</x:v>
      </x:c>
      <x:c r="I166" s="26" t="n">
        <x:f>MAX(G166,C166)</x:f>
        <x:v>-1.6263986499587393</x:v>
      </x:c>
      <x:c r="J166" s="26" t="n">
        <x:f>MAX(D166,H166)</x:f>
        <x:v>3.6201666262047114</x:v>
      </x:c>
      <x:c r="K166" s="26" t="n">
        <x:f>MIN(E166,I166)</x:f>
        <x:v>-1.6263986499587393</x:v>
      </x:c>
      <x:c r="P166" s="26" t="n">
        <x:v>80.5</x:v>
      </x:c>
      <x:c r="Q166" s="26" t="n">
        <x:v>3.6201666262047114</x:v>
      </x:c>
      <x:c r="R166" s="26" t="n">
        <x:v>-1.6263986499587393</x:v>
      </x:c>
      <x:c r="S166" s="26" t="n">
        <x:v>3.6201666262047114</x:v>
      </x:c>
      <x:c r="T166" s="26" t="n">
        <x:v>-0.5923417467214879</x:v>
      </x:c>
      <x:c r="U166" s="26" t="n">
        <x:v>3.6263986499587393</x:v>
      </x:c>
      <x:c r="V166" s="26" t="n">
        <x:v>-1.6263986499587393</x:v>
      </x:c>
    </x:row>
    <x:row r="167">
      <x:c r="A167" s="26" t="n">
        <x:v>81</x:v>
      </x:c>
      <x:c r="B167" s="26" t="n">
        <x:f>(A167/$N$3)^2</x:f>
        <x:v>3.6652773017289633</x:v>
      </x:c>
      <x:c r="C167" s="26" t="n">
        <x:f>0-(A167/$N$4)^2</x:f>
        <x:v>-3.295766744511023</x:v>
      </x:c>
      <x:c r="D167" s="26" t="n">
        <x:f>MIN(B167,$N$5)</x:f>
        <x:v>3.6652773017289633</x:v>
      </x:c>
      <x:c r="E167" s="26" t="n">
        <x:f>IF(A167&lt;=$N$7,MAX(C167,$N$6),MAX(C167,$N$6*($N$8-A167)/($N$8-$N$7)))</x:f>
        <x:v>-0.5486434355458728</x:v>
      </x:c>
      <x:c r="F167" s="26" t="n">
        <x:f>IF(A167&lt;=$N$7,1+$N$9*A167/$N$7,$N$10+(A167-$N$7)*($N$12-$N$10)/($N$8-$N$7))</x:f>
        <x:v>3.589608246386409</x:v>
      </x:c>
      <x:c r="G167" s="26" t="n">
        <x:f>IF(A167&lt;=$N$7,1-$N$9*A167/$N$7,$N$11+(A167-$N$7)*($N$13-$N$11)/($N$8-$N$7))</x:f>
        <x:v>-1.5896082463864094</x:v>
      </x:c>
      <x:c r="H167" s="26" t="n">
        <x:f>MIN(F167,B167)</x:f>
        <x:v>3.589608246386409</x:v>
      </x:c>
      <x:c r="I167" s="26" t="n">
        <x:f>MAX(G167,C167)</x:f>
        <x:v>-1.5896082463864094</x:v>
      </x:c>
      <x:c r="J167" s="26" t="n">
        <x:f>MAX(D167,H167)</x:f>
        <x:v>3.6652773017289633</x:v>
      </x:c>
      <x:c r="K167" s="26" t="n">
        <x:f>MIN(E167,I167)</x:f>
        <x:v>-1.5896082463864094</x:v>
      </x:c>
      <x:c r="P167" s="26" t="n">
        <x:v>81</x:v>
      </x:c>
      <x:c r="Q167" s="26" t="n">
        <x:v>3.6652773017289633</x:v>
      </x:c>
      <x:c r="R167" s="26" t="n">
        <x:v>-1.5896082463864094</x:v>
      </x:c>
      <x:c r="S167" s="26" t="n">
        <x:v>3.6652773017289633</x:v>
      </x:c>
      <x:c r="T167" s="26" t="n">
        <x:v>-0.5486434355458728</x:v>
      </x:c>
      <x:c r="U167" s="26" t="n">
        <x:v>3.589608246386409</x:v>
      </x:c>
      <x:c r="V167" s="26" t="n">
        <x:v>-1.5896082463864094</x:v>
      </x:c>
    </x:row>
    <x:row r="168">
      <x:c r="A168" s="26" t="n">
        <x:v>81.5</x:v>
      </x:c>
      <x:c r="B168" s="26" t="n">
        <x:f>(A168/$N$3)^2</x:f>
        <x:v>3.7106673003214756</x:v>
      </x:c>
      <x:c r="C168" s="26" t="n">
        <x:f>0-(A168/$N$4)^2</x:f>
        <x:v>-3.3365808045615517</x:v>
      </x:c>
      <x:c r="D168" s="26" t="n">
        <x:f>MIN(B168,$N$5)</x:f>
        <x:v>3.7106673003214756</x:v>
      </x:c>
      <x:c r="E168" s="26" t="n">
        <x:f>IF(A168&lt;=$N$7,MAX(C168,$N$6),MAX(C168,$N$6*($N$8-A168)/($N$8-$N$7)))</x:f>
        <x:v>-0.5049451243702578</x:v>
      </x:c>
      <x:c r="F168" s="26" t="n">
        <x:f>IF(A168&lt;=$N$7,1+$N$9*A168/$N$7,$N$10+(A168-$N$7)*($N$12-$N$10)/($N$8-$N$7))</x:f>
        <x:v>3.5528178428140795</x:v>
      </x:c>
      <x:c r="G168" s="26" t="n">
        <x:f>IF(A168&lt;=$N$7,1-$N$9*A168/$N$7,$N$11+(A168-$N$7)*($N$13-$N$11)/($N$8-$N$7))</x:f>
        <x:v>-1.5528178428140795</x:v>
      </x:c>
      <x:c r="H168" s="26" t="n">
        <x:f>MIN(F168,B168)</x:f>
        <x:v>3.5528178428140795</x:v>
      </x:c>
      <x:c r="I168" s="26" t="n">
        <x:f>MAX(G168,C168)</x:f>
        <x:v>-1.5528178428140795</x:v>
      </x:c>
      <x:c r="J168" s="26" t="n">
        <x:f>MAX(D168,H168)</x:f>
        <x:v>3.7106673003214756</x:v>
      </x:c>
      <x:c r="K168" s="26" t="n">
        <x:f>MIN(E168,I168)</x:f>
        <x:v>-1.5528178428140795</x:v>
      </x:c>
      <x:c r="P168" s="26" t="n">
        <x:v>81.5</x:v>
      </x:c>
      <x:c r="Q168" s="26" t="n">
        <x:v>3.7106673003214756</x:v>
      </x:c>
      <x:c r="R168" s="26" t="n">
        <x:v>-1.5528178428140795</x:v>
      </x:c>
      <x:c r="S168" s="26" t="n">
        <x:v>3.7106673003214756</x:v>
      </x:c>
      <x:c r="T168" s="26" t="n">
        <x:v>-0.5049451243702578</x:v>
      </x:c>
      <x:c r="U168" s="26" t="n">
        <x:v>3.5528178428140795</x:v>
      </x:c>
      <x:c r="V168" s="26" t="n">
        <x:v>-1.5528178428140795</x:v>
      </x:c>
    </x:row>
    <x:row r="169">
      <x:c r="A169" s="26" t="n">
        <x:v>82</x:v>
      </x:c>
      <x:c r="B169" s="26" t="n">
        <x:f>(A169/$N$3)^2</x:f>
        <x:v>3.7563366219822507</x:v>
      </x:c>
      <x:c r="C169" s="26" t="n">
        <x:f>0-(A169/$N$4)^2</x:f>
        <x:v>-3.377646028058545</x:v>
      </x:c>
      <x:c r="D169" s="26" t="n">
        <x:f>MIN(B169,$N$5)</x:f>
        <x:v>3.7563366219822507</x:v>
      </x:c>
      <x:c r="E169" s="26" t="n">
        <x:f>IF(A169&lt;=$N$7,MAX(C169,$N$6),MAX(C169,$N$6*($N$8-A169)/($N$8-$N$7)))</x:f>
        <x:v>-0.46124681319464284</x:v>
      </x:c>
      <x:c r="F169" s="26" t="n">
        <x:f>IF(A169&lt;=$N$7,1+$N$9*A169/$N$7,$N$10+(A169-$N$7)*($N$12-$N$10)/($N$8-$N$7))</x:f>
        <x:v>3.51602743924175</x:v>
      </x:c>
      <x:c r="G169" s="26" t="n">
        <x:f>IF(A169&lt;=$N$7,1-$N$9*A169/$N$7,$N$11+(A169-$N$7)*($N$13-$N$11)/($N$8-$N$7))</x:f>
        <x:v>-1.5160274392417497</x:v>
      </x:c>
      <x:c r="H169" s="26" t="n">
        <x:f>MIN(F169,B169)</x:f>
        <x:v>3.51602743924175</x:v>
      </x:c>
      <x:c r="I169" s="26" t="n">
        <x:f>MAX(G169,C169)</x:f>
        <x:v>-1.5160274392417497</x:v>
      </x:c>
      <x:c r="J169" s="26" t="n">
        <x:f>MAX(D169,H169)</x:f>
        <x:v>3.7563366219822507</x:v>
      </x:c>
      <x:c r="K169" s="26" t="n">
        <x:f>MIN(E169,I169)</x:f>
        <x:v>-1.5160274392417497</x:v>
      </x:c>
      <x:c r="P169" s="26" t="n">
        <x:v>82</x:v>
      </x:c>
      <x:c r="Q169" s="26" t="n">
        <x:v>3.7563366219822507</x:v>
      </x:c>
      <x:c r="R169" s="26" t="n">
        <x:v>-1.5160274392417497</x:v>
      </x:c>
      <x:c r="S169" s="26" t="n">
        <x:v>3.7563366219822507</x:v>
      </x:c>
      <x:c r="T169" s="26" t="n">
        <x:v>-0.46124681319464284</x:v>
      </x:c>
      <x:c r="U169" s="26" t="n">
        <x:v>3.51602743924175</x:v>
      </x:c>
      <x:c r="V169" s="26" t="n">
        <x:v>-1.5160274392417497</x:v>
      </x:c>
    </x:row>
    <x:row r="170">
      <x:c r="A170" s="26" t="n">
        <x:v>82.5</x:v>
      </x:c>
      <x:c r="B170" s="26" t="n">
        <x:f>(A170/$N$3)^2</x:f>
        <x:v>3.8022852667112867</x:v>
      </x:c>
      <x:c r="C170" s="26" t="n">
        <x:f>0-(A170/$N$4)^2</x:f>
        <x:v>-3.4189624150020044</x:v>
      </x:c>
      <x:c r="D170" s="26" t="n">
        <x:f>MIN(B170,$N$5)</x:f>
        <x:v>3.8</x:v>
      </x:c>
      <x:c r="E170" s="26" t="n">
        <x:f>IF(A170&lt;=$N$7,MAX(C170,$N$6),MAX(C170,$N$6*($N$8-A170)/($N$8-$N$7)))</x:f>
        <x:v>-0.4175485020190279</x:v>
      </x:c>
      <x:c r="F170" s="26" t="n">
        <x:f>IF(A170&lt;=$N$7,1+$N$9*A170/$N$7,$N$10+(A170-$N$7)*($N$12-$N$10)/($N$8-$N$7))</x:f>
        <x:v>3.4792370356694198</x:v>
      </x:c>
      <x:c r="G170" s="26" t="n">
        <x:f>IF(A170&lt;=$N$7,1-$N$9*A170/$N$7,$N$11+(A170-$N$7)*($N$13-$N$11)/($N$8-$N$7))</x:f>
        <x:v>-1.4792370356694198</x:v>
      </x:c>
      <x:c r="H170" s="26" t="n">
        <x:f>MIN(F170,B170)</x:f>
        <x:v>3.4792370356694198</x:v>
      </x:c>
      <x:c r="I170" s="26" t="n">
        <x:f>MAX(G170,C170)</x:f>
        <x:v>-1.4792370356694198</x:v>
      </x:c>
      <x:c r="J170" s="26" t="n">
        <x:f>MAX(D170,H170)</x:f>
        <x:v>3.8</x:v>
      </x:c>
      <x:c r="K170" s="26" t="n">
        <x:f>MIN(E170,I170)</x:f>
        <x:v>-1.4792370356694198</x:v>
      </x:c>
      <x:c r="P170" s="26" t="n">
        <x:v>82.5</x:v>
      </x:c>
      <x:c r="Q170" s="26" t="n">
        <x:v>3.8</x:v>
      </x:c>
      <x:c r="R170" s="26" t="n">
        <x:v>-1.4792370356694198</x:v>
      </x:c>
      <x:c r="S170" s="26" t="n">
        <x:v>3.8</x:v>
      </x:c>
      <x:c r="T170" s="26" t="n">
        <x:v>-0.4175485020190279</x:v>
      </x:c>
      <x:c r="U170" s="26" t="n">
        <x:v>3.4792370356694198</x:v>
      </x:c>
      <x:c r="V170" s="26" t="n">
        <x:v>-1.4792370356694198</x:v>
      </x:c>
    </x:row>
    <x:row r="171">
      <x:c r="A171" s="26" t="n">
        <x:v>83</x:v>
      </x:c>
      <x:c r="B171" s="26" t="n">
        <x:f>(A171/$N$3)^2</x:f>
        <x:v>3.8485132345085846</x:v>
      </x:c>
      <x:c r="C171" s="26" t="n">
        <x:f>0-(A171/$N$4)^2</x:f>
        <x:v>-3.460529965391927</x:v>
      </x:c>
      <x:c r="D171" s="26" t="n">
        <x:f>MIN(B171,$N$5)</x:f>
        <x:v>3.8</x:v>
      </x:c>
      <x:c r="E171" s="26" t="n">
        <x:f>IF(A171&lt;=$N$7,MAX(C171,$N$6),MAX(C171,$N$6*($N$8-A171)/($N$8-$N$7)))</x:f>
        <x:v>-0.3738501908434128</x:v>
      </x:c>
      <x:c r="F171" s="26" t="n">
        <x:f>IF(A171&lt;=$N$7,1+$N$9*A171/$N$7,$N$10+(A171-$N$7)*($N$12-$N$10)/($N$8-$N$7))</x:f>
        <x:v>3.4424466320970897</x:v>
      </x:c>
      <x:c r="G171" s="26" t="n">
        <x:f>IF(A171&lt;=$N$7,1-$N$9*A171/$N$7,$N$11+(A171-$N$7)*($N$13-$N$11)/($N$8-$N$7))</x:f>
        <x:v>-1.44244663209709</x:v>
      </x:c>
      <x:c r="H171" s="26" t="n">
        <x:f>MIN(F171,B171)</x:f>
        <x:v>3.4424466320970897</x:v>
      </x:c>
      <x:c r="I171" s="26" t="n">
        <x:f>MAX(G171,C171)</x:f>
        <x:v>-1.44244663209709</x:v>
      </x:c>
      <x:c r="J171" s="26" t="n">
        <x:f>MAX(D171,H171)</x:f>
        <x:v>3.8</x:v>
      </x:c>
      <x:c r="K171" s="26" t="n">
        <x:f>MIN(E171,I171)</x:f>
        <x:v>-1.44244663209709</x:v>
      </x:c>
      <x:c r="P171" s="26" t="n">
        <x:v>83</x:v>
      </x:c>
      <x:c r="Q171" s="26" t="n">
        <x:v>3.8</x:v>
      </x:c>
      <x:c r="R171" s="26" t="n">
        <x:v>-1.44244663209709</x:v>
      </x:c>
      <x:c r="S171" s="26" t="n">
        <x:v>3.8</x:v>
      </x:c>
      <x:c r="T171" s="26" t="n">
        <x:v>-0.3738501908434128</x:v>
      </x:c>
      <x:c r="U171" s="26" t="n">
        <x:v>3.4424466320970897</x:v>
      </x:c>
      <x:c r="V171" s="26" t="n">
        <x:v>-1.44244663209709</x:v>
      </x:c>
    </x:row>
    <x:row r="172">
      <x:c r="A172" s="26" t="n">
        <x:v>83.5</x:v>
      </x:c>
      <x:c r="B172" s="26" t="n">
        <x:f>(A172/$N$3)^2</x:f>
        <x:v>3.895020525374145</x:v>
      </x:c>
      <x:c r="C172" s="26" t="n">
        <x:f>0-(A172/$N$4)^2</x:f>
        <x:v>-3.502348679228316</x:v>
      </x:c>
      <x:c r="D172" s="26" t="n">
        <x:f>MIN(B172,$N$5)</x:f>
        <x:v>3.8</x:v>
      </x:c>
      <x:c r="E172" s="26" t="n">
        <x:f>IF(A172&lt;=$N$7,MAX(C172,$N$6),MAX(C172,$N$6*($N$8-A172)/($N$8-$N$7)))</x:f>
        <x:v>-0.3301518796677978</x:v>
      </x:c>
      <x:c r="F172" s="26" t="n">
        <x:f>IF(A172&lt;=$N$7,1+$N$9*A172/$N$7,$N$10+(A172-$N$7)*($N$12-$N$10)/($N$8-$N$7))</x:f>
        <x:v>3.40565622852476</x:v>
      </x:c>
      <x:c r="G172" s="26" t="n">
        <x:f>IF(A172&lt;=$N$7,1-$N$9*A172/$N$7,$N$11+(A172-$N$7)*($N$13-$N$11)/($N$8-$N$7))</x:f>
        <x:v>-1.40565622852476</x:v>
      </x:c>
      <x:c r="H172" s="26" t="n">
        <x:f>MIN(F172,B172)</x:f>
        <x:v>3.40565622852476</x:v>
      </x:c>
      <x:c r="I172" s="26" t="n">
        <x:f>MAX(G172,C172)</x:f>
        <x:v>-1.40565622852476</x:v>
      </x:c>
      <x:c r="J172" s="26" t="n">
        <x:f>MAX(D172,H172)</x:f>
        <x:v>3.8</x:v>
      </x:c>
      <x:c r="K172" s="26" t="n">
        <x:f>MIN(E172,I172)</x:f>
        <x:v>-1.40565622852476</x:v>
      </x:c>
      <x:c r="P172" s="26" t="n">
        <x:v>83.5</x:v>
      </x:c>
      <x:c r="Q172" s="26" t="n">
        <x:v>3.8</x:v>
      </x:c>
      <x:c r="R172" s="26" t="n">
        <x:v>-1.40565622852476</x:v>
      </x:c>
      <x:c r="S172" s="26" t="n">
        <x:v>3.8</x:v>
      </x:c>
      <x:c r="T172" s="26" t="n">
        <x:v>-0.3301518796677978</x:v>
      </x:c>
      <x:c r="U172" s="26" t="n">
        <x:v>3.40565622852476</x:v>
      </x:c>
      <x:c r="V172" s="26" t="n">
        <x:v>-1.40565622852476</x:v>
      </x:c>
    </x:row>
    <x:row r="173">
      <x:c r="A173" s="26" t="n">
        <x:v>84</x:v>
      </x:c>
      <x:c r="B173" s="26" t="n">
        <x:f>(A173/$N$3)^2</x:f>
        <x:v>3.9418071393079654</x:v>
      </x:c>
      <x:c r="C173" s="26" t="n">
        <x:f>0-(A173/$N$4)^2</x:f>
        <x:v>-3.5444185565111685</x:v>
      </x:c>
      <x:c r="D173" s="26" t="n">
        <x:f>MIN(B173,$N$5)</x:f>
        <x:v>3.8</x:v>
      </x:c>
      <x:c r="E173" s="26" t="n">
        <x:f>IF(A173&lt;=$N$7,MAX(C173,$N$6),MAX(C173,$N$6*($N$8-A173)/($N$8-$N$7)))</x:f>
        <x:v>-0.28645356849218284</x:v>
      </x:c>
      <x:c r="F173" s="26" t="n">
        <x:f>IF(A173&lt;=$N$7,1+$N$9*A173/$N$7,$N$10+(A173-$N$7)*($N$12-$N$10)/($N$8-$N$7))</x:f>
        <x:v>3.3688658249524304</x:v>
      </x:c>
      <x:c r="G173" s="26" t="n">
        <x:f>IF(A173&lt;=$N$7,1-$N$9*A173/$N$7,$N$11+(A173-$N$7)*($N$13-$N$11)/($N$8-$N$7))</x:f>
        <x:v>-1.3688658249524301</x:v>
      </x:c>
      <x:c r="H173" s="26" t="n">
        <x:f>MIN(F173,B173)</x:f>
        <x:v>3.3688658249524304</x:v>
      </x:c>
      <x:c r="I173" s="26" t="n">
        <x:f>MAX(G173,C173)</x:f>
        <x:v>-1.3688658249524301</x:v>
      </x:c>
      <x:c r="J173" s="26" t="n">
        <x:f>MAX(D173,H173)</x:f>
        <x:v>3.8</x:v>
      </x:c>
      <x:c r="K173" s="26" t="n">
        <x:f>MIN(E173,I173)</x:f>
        <x:v>-1.3688658249524301</x:v>
      </x:c>
      <x:c r="P173" s="26" t="n">
        <x:v>84</x:v>
      </x:c>
      <x:c r="Q173" s="26" t="n">
        <x:v>3.8</x:v>
      </x:c>
      <x:c r="R173" s="26" t="n">
        <x:v>-1.3688658249524301</x:v>
      </x:c>
      <x:c r="S173" s="26" t="n">
        <x:v>3.8</x:v>
      </x:c>
      <x:c r="T173" s="26" t="n">
        <x:v>-0.28645356849218284</x:v>
      </x:c>
      <x:c r="U173" s="26" t="n">
        <x:v>3.3688658249524304</x:v>
      </x:c>
      <x:c r="V173" s="26" t="n">
        <x:v>-1.3688658249524301</x:v>
      </x:c>
    </x:row>
    <x:row r="174">
      <x:c r="A174" s="26" t="n">
        <x:v>84.5</x:v>
      </x:c>
      <x:c r="B174" s="26" t="n">
        <x:f>(A174/$N$3)^2</x:f>
        <x:v>3.9888730763100484</x:v>
      </x:c>
      <x:c r="C174" s="26" t="n">
        <x:f>0-(A174/$N$4)^2</x:f>
        <x:v>-3.5867395972404865</x:v>
      </x:c>
      <x:c r="D174" s="26" t="n">
        <x:f>MIN(B174,$N$5)</x:f>
        <x:v>3.8</x:v>
      </x:c>
      <x:c r="E174" s="26" t="n">
        <x:f>IF(A174&lt;=$N$7,MAX(C174,$N$6),MAX(C174,$N$6*($N$8-A174)/($N$8-$N$7)))</x:f>
        <x:v>-0.24275525731656783</x:v>
      </x:c>
      <x:c r="F174" s="26" t="n">
        <x:f>IF(A174&lt;=$N$7,1+$N$9*A174/$N$7,$N$10+(A174-$N$7)*($N$12-$N$10)/($N$8-$N$7))</x:f>
        <x:v>3.3320754213801003</x:v>
      </x:c>
      <x:c r="G174" s="26" t="n">
        <x:f>IF(A174&lt;=$N$7,1-$N$9*A174/$N$7,$N$11+(A174-$N$7)*($N$13-$N$11)/($N$8-$N$7))</x:f>
        <x:v>-1.3320754213801003</x:v>
      </x:c>
      <x:c r="H174" s="26" t="n">
        <x:f>MIN(F174,B174)</x:f>
        <x:v>3.3320754213801003</x:v>
      </x:c>
      <x:c r="I174" s="26" t="n">
        <x:f>MAX(G174,C174)</x:f>
        <x:v>-1.3320754213801003</x:v>
      </x:c>
      <x:c r="J174" s="26" t="n">
        <x:f>MAX(D174,H174)</x:f>
        <x:v>3.8</x:v>
      </x:c>
      <x:c r="K174" s="26" t="n">
        <x:f>MIN(E174,I174)</x:f>
        <x:v>-1.3320754213801003</x:v>
      </x:c>
      <x:c r="P174" s="26" t="n">
        <x:v>84.5</x:v>
      </x:c>
      <x:c r="Q174" s="26" t="n">
        <x:v>3.8</x:v>
      </x:c>
      <x:c r="R174" s="26" t="n">
        <x:v>-1.3320754213801003</x:v>
      </x:c>
      <x:c r="S174" s="26" t="n">
        <x:v>3.8</x:v>
      </x:c>
      <x:c r="T174" s="26" t="n">
        <x:v>-0.24275525731656783</x:v>
      </x:c>
      <x:c r="U174" s="26" t="n">
        <x:v>3.3320754213801003</x:v>
      </x:c>
      <x:c r="V174" s="26" t="n">
        <x:v>-1.3320754213801003</x:v>
      </x:c>
    </x:row>
    <x:row r="175">
      <x:c r="A175" s="26" t="n">
        <x:v>85</x:v>
      </x:c>
      <x:c r="B175" s="26" t="n">
        <x:f>(A175/$N$3)^2</x:f>
        <x:v>4.036218336380394</x:v>
      </x:c>
      <x:c r="C175" s="26" t="n">
        <x:f>0-(A175/$N$4)^2</x:f>
        <x:v>-3.629311801416269</x:v>
      </x:c>
      <x:c r="D175" s="26" t="n">
        <x:f>MIN(B175,$N$5)</x:f>
        <x:v>3.8</x:v>
      </x:c>
      <x:c r="E175" s="26" t="n">
        <x:f>IF(A175&lt;=$N$7,MAX(C175,$N$6),MAX(C175,$N$6*($N$8-A175)/($N$8-$N$7)))</x:f>
        <x:v>-0.19905694614095282</x:v>
      </x:c>
      <x:c r="F175" s="26" t="n">
        <x:f>IF(A175&lt;=$N$7,1+$N$9*A175/$N$7,$N$10+(A175-$N$7)*($N$12-$N$10)/($N$8-$N$7))</x:f>
        <x:v>3.2952850178077706</x:v>
      </x:c>
      <x:c r="G175" s="26" t="n">
        <x:f>IF(A175&lt;=$N$7,1-$N$9*A175/$N$7,$N$11+(A175-$N$7)*($N$13-$N$11)/($N$8-$N$7))</x:f>
        <x:v>-1.2952850178077706</x:v>
      </x:c>
      <x:c r="H175" s="26" t="n">
        <x:f>MIN(F175,B175)</x:f>
        <x:v>3.2952850178077706</x:v>
      </x:c>
      <x:c r="I175" s="26" t="n">
        <x:f>MAX(G175,C175)</x:f>
        <x:v>-1.2952850178077706</x:v>
      </x:c>
      <x:c r="J175" s="26" t="n">
        <x:f>MAX(D175,H175)</x:f>
        <x:v>3.8</x:v>
      </x:c>
      <x:c r="K175" s="26" t="n">
        <x:f>MIN(E175,I175)</x:f>
        <x:v>-1.2952850178077706</x:v>
      </x:c>
      <x:c r="P175" s="26" t="n">
        <x:v>85</x:v>
      </x:c>
      <x:c r="Q175" s="26" t="n">
        <x:v>3.8</x:v>
      </x:c>
      <x:c r="R175" s="26" t="n">
        <x:v>-1.2952850178077704</x:v>
      </x:c>
      <x:c r="S175" s="26" t="n">
        <x:v>3.8</x:v>
      </x:c>
      <x:c r="T175" s="26" t="n">
        <x:v>-0.19905694614095282</x:v>
      </x:c>
      <x:c r="U175" s="26" t="n">
        <x:v>3.29528501780777</x:v>
      </x:c>
      <x:c r="V175" s="26" t="n">
        <x:v>-1.2952850178077704</x:v>
      </x:c>
    </x:row>
    <x:row r="176">
      <x:c r="A176" s="26" t="n">
        <x:v>85.5</x:v>
      </x:c>
      <x:c r="B176" s="26" t="n">
        <x:f>(A176/$N$3)^2</x:f>
        <x:v>4.0838429195189985</x:v>
      </x:c>
      <x:c r="C176" s="26" t="n">
        <x:f>0-(A176/$N$4)^2</x:f>
        <x:v>-3.6721351690385164</x:v>
      </x:c>
      <x:c r="D176" s="26" t="n">
        <x:f>MIN(B176,$N$5)</x:f>
        <x:v>3.8</x:v>
      </x:c>
      <x:c r="E176" s="26" t="n">
        <x:f>IF(A176&lt;=$N$7,MAX(C176,$N$6),MAX(C176,$N$6*($N$8-A176)/($N$8-$N$7)))</x:f>
        <x:v>-0.15535863496533778</x:v>
      </x:c>
      <x:c r="F176" s="26" t="n">
        <x:f>IF(A176&lt;=$N$7,1+$N$9*A176/$N$7,$N$10+(A176-$N$7)*($N$12-$N$10)/($N$8-$N$7))</x:f>
        <x:v>3.2584946142354405</x:v>
      </x:c>
      <x:c r="G176" s="26" t="n">
        <x:f>IF(A176&lt;=$N$7,1-$N$9*A176/$N$7,$N$11+(A176-$N$7)*($N$13-$N$11)/($N$8-$N$7))</x:f>
        <x:v>-1.2584946142354405</x:v>
      </x:c>
      <x:c r="H176" s="26" t="n">
        <x:f>MIN(F176,B176)</x:f>
        <x:v>3.2584946142354405</x:v>
      </x:c>
      <x:c r="I176" s="26" t="n">
        <x:f>MAX(G176,C176)</x:f>
        <x:v>-1.2584946142354405</x:v>
      </x:c>
      <x:c r="J176" s="26" t="n">
        <x:f>MAX(D176,H176)</x:f>
        <x:v>3.8</x:v>
      </x:c>
      <x:c r="K176" s="26" t="n">
        <x:f>MIN(E176,I176)</x:f>
        <x:v>-1.2584946142354405</x:v>
      </x:c>
      <x:c r="P176" s="26" t="n">
        <x:v>85.5</x:v>
      </x:c>
      <x:c r="Q176" s="26" t="n">
        <x:v>3.8</x:v>
      </x:c>
      <x:c r="R176" s="26" t="n">
        <x:v>-1.2584946142354405</x:v>
      </x:c>
      <x:c r="S176" s="26" t="n">
        <x:v>3.8</x:v>
      </x:c>
      <x:c r="T176" s="26" t="n">
        <x:v>-0.15535863496533778</x:v>
      </x:c>
      <x:c r="U176" s="26" t="n">
        <x:v>3.2584946142354405</x:v>
      </x:c>
      <x:c r="V176" s="26" t="n">
        <x:v>-1.2584946142354405</x:v>
      </x:c>
    </x:row>
    <x:row r="177">
      <x:c r="A177" s="26" t="n">
        <x:v>86</x:v>
      </x:c>
      <x:c r="B177" s="26" t="n">
        <x:f>(A177/$N$3)^2</x:f>
        <x:v>4.131746825725866</x:v>
      </x:c>
      <x:c r="C177" s="26" t="n">
        <x:f>0-(A177/$N$4)^2</x:f>
        <x:v>-3.7152097001072284</x:v>
      </x:c>
      <x:c r="D177" s="26" t="n">
        <x:f>MIN(B177,$N$5)</x:f>
        <x:v>3.8</x:v>
      </x:c>
      <x:c r="E177" s="26" t="n">
        <x:f>IF(A177&lt;=$N$7,MAX(C177,$N$6),MAX(C177,$N$6*($N$8-A177)/($N$8-$N$7)))</x:f>
        <x:v>-0.11166032378972279</x:v>
      </x:c>
      <x:c r="F177" s="26" t="n">
        <x:f>IF(A177&lt;=$N$7,1+$N$9*A177/$N$7,$N$10+(A177-$N$7)*($N$12-$N$10)/($N$8-$N$7))</x:f>
        <x:v>3.221704210663111</x:v>
      </x:c>
      <x:c r="G177" s="26" t="n">
        <x:f>IF(A177&lt;=$N$7,1-$N$9*A177/$N$7,$N$11+(A177-$N$7)*($N$13-$N$11)/($N$8-$N$7))</x:f>
        <x:v>-1.2217042106631106</x:v>
      </x:c>
      <x:c r="H177" s="26" t="n">
        <x:f>MIN(F177,B177)</x:f>
        <x:v>3.221704210663111</x:v>
      </x:c>
      <x:c r="I177" s="26" t="n">
        <x:f>MAX(G177,C177)</x:f>
        <x:v>-1.2217042106631106</x:v>
      </x:c>
      <x:c r="J177" s="26" t="n">
        <x:f>MAX(D177,H177)</x:f>
        <x:v>3.8</x:v>
      </x:c>
      <x:c r="K177" s="26" t="n">
        <x:f>MIN(E177,I177)</x:f>
        <x:v>-1.2217042106631106</x:v>
      </x:c>
      <x:c r="P177" s="26" t="n">
        <x:v>86</x:v>
      </x:c>
      <x:c r="Q177" s="26" t="n">
        <x:v>3.8</x:v>
      </x:c>
      <x:c r="R177" s="26" t="n">
        <x:v>-1.2217042106631106</x:v>
      </x:c>
      <x:c r="S177" s="26" t="n">
        <x:v>3.8</x:v>
      </x:c>
      <x:c r="T177" s="26" t="n">
        <x:v>-0.11166032378972279</x:v>
      </x:c>
      <x:c r="U177" s="26" t="n">
        <x:v>3.221704210663111</x:v>
      </x:c>
      <x:c r="V177" s="26" t="n">
        <x:v>-1.2217042106631106</x:v>
      </x:c>
    </x:row>
    <x:row r="178">
      <x:c r="A178" s="26" t="n">
        <x:v>86.5</x:v>
      </x:c>
      <x:c r="B178" s="26" t="n">
        <x:f>(A178/$N$3)^2</x:f>
        <x:v>4.179930055000996</x:v>
      </x:c>
      <x:c r="C178" s="26" t="n">
        <x:f>0-(A178/$N$4)^2</x:f>
        <x:v>-3.7585353946224056</x:v>
      </x:c>
      <x:c r="D178" s="26" t="n">
        <x:f>MIN(B178,$N$5)</x:f>
        <x:v>3.8</x:v>
      </x:c>
      <x:c r="E178" s="26" t="n">
        <x:f>IF(A178&lt;=$N$7,MAX(C178,$N$6),MAX(C178,$N$6*($N$8-A178)/($N$8-$N$7)))</x:f>
        <x:v>-0.06796201261410778</x:v>
      </x:c>
      <x:c r="F178" s="26" t="n">
        <x:f>IF(A178&lt;=$N$7,1+$N$9*A178/$N$7,$N$10+(A178-$N$7)*($N$12-$N$10)/($N$8-$N$7))</x:f>
        <x:v>3.1849138070907808</x:v>
      </x:c>
      <x:c r="G178" s="26" t="n">
        <x:f>IF(A178&lt;=$N$7,1-$N$9*A178/$N$7,$N$11+(A178-$N$7)*($N$13-$N$11)/($N$8-$N$7))</x:f>
        <x:v>-1.1849138070907808</x:v>
      </x:c>
      <x:c r="H178" s="26" t="n">
        <x:f>MIN(F178,B178)</x:f>
        <x:v>3.1849138070907808</x:v>
      </x:c>
      <x:c r="I178" s="26" t="n">
        <x:f>MAX(G178,C178)</x:f>
        <x:v>-1.1849138070907808</x:v>
      </x:c>
      <x:c r="J178" s="26" t="n">
        <x:f>MAX(D178,H178)</x:f>
        <x:v>3.8</x:v>
      </x:c>
      <x:c r="K178" s="26" t="n">
        <x:f>MIN(E178,I178)</x:f>
        <x:v>-1.1849138070907808</x:v>
      </x:c>
      <x:c r="P178" s="26" t="n">
        <x:v>86.5</x:v>
      </x:c>
      <x:c r="Q178" s="26" t="n">
        <x:v>3.8</x:v>
      </x:c>
      <x:c r="R178" s="26" t="n">
        <x:v>-1.1849138070907808</x:v>
      </x:c>
      <x:c r="S178" s="26" t="n">
        <x:v>3.8</x:v>
      </x:c>
      <x:c r="T178" s="26" t="n">
        <x:v>-0.06796201261410778</x:v>
      </x:c>
      <x:c r="U178" s="26" t="n">
        <x:v>3.1849138070907808</x:v>
      </x:c>
      <x:c r="V178" s="26" t="n">
        <x:v>-1.1849138070907808</x:v>
      </x:c>
    </x:row>
    <x:row r="179">
      <x:c r="A179" s="26" t="n">
        <x:v>87</x:v>
      </x:c>
      <x:c r="B179" s="26" t="n">
        <x:f>(A179/$N$3)^2</x:f>
        <x:v>4.228392607344387</x:v>
      </x:c>
      <x:c r="C179" s="26" t="n">
        <x:f>0-(A179/$N$4)^2</x:f>
        <x:v>-3.8021122525840467</x:v>
      </x:c>
      <x:c r="D179" s="26" t="n">
        <x:f>MIN(B179,$N$5)</x:f>
        <x:v>3.8</x:v>
      </x:c>
      <x:c r="E179" s="26" t="n">
        <x:f>IF(A179&lt;=$N$7,MAX(C179,$N$6),MAX(C179,$N$6*($N$8-A179)/($N$8-$N$7)))</x:f>
        <x:v>-0.024263701438492765</x:v>
      </x:c>
      <x:c r="F179" s="26" t="n">
        <x:f>IF(A179&lt;=$N$7,1+$N$9*A179/$N$7,$N$10+(A179-$N$7)*($N$12-$N$10)/($N$8-$N$7))</x:f>
        <x:v>3.1481234035184507</x:v>
      </x:c>
      <x:c r="G179" s="26" t="n">
        <x:f>IF(A179&lt;=$N$7,1-$N$9*A179/$N$7,$N$11+(A179-$N$7)*($N$13-$N$11)/($N$8-$N$7))</x:f>
        <x:v>-1.1481234035184509</x:v>
      </x:c>
      <x:c r="H179" s="26" t="n">
        <x:f>MIN(F179,B179)</x:f>
        <x:v>3.1481234035184507</x:v>
      </x:c>
      <x:c r="I179" s="26" t="n">
        <x:f>MAX(G179,C179)</x:f>
        <x:v>-1.1481234035184509</x:v>
      </x:c>
      <x:c r="J179" s="26" t="n">
        <x:f>MAX(D179,H179)</x:f>
        <x:v>3.8</x:v>
      </x:c>
      <x:c r="K179" s="26" t="n">
        <x:f>MIN(E179,I179)</x:f>
        <x:v>-1.1481234035184509</x:v>
      </x:c>
      <x:c r="P179" s="26" t="n">
        <x:v>87</x:v>
      </x:c>
      <x:c r="Q179" s="26" t="n">
        <x:v>3.8</x:v>
      </x:c>
      <x:c r="R179" s="26" t="n">
        <x:v>-1.1481234035184509</x:v>
      </x:c>
      <x:c r="S179" s="26" t="n">
        <x:v>3.8</x:v>
      </x:c>
      <x:c r="T179" s="26" t="n">
        <x:v>-0.024263701438492765</x:v>
      </x:c>
      <x:c r="U179" s="26" t="n">
        <x:v>3.1481234035184507</x:v>
      </x:c>
      <x:c r="V179" s="26" t="n">
        <x:v>-1.1481234035184509</x:v>
      </x:c>
    </x:row>
    <x:row r="180">
      <x:c r="A180" s="26" t="n">
        <x:v>87.277627</x:v>
      </x:c>
      <x:c r="B180" s="26" t="n">
        <x:f>(A180/$N$3)^2</x:f>
        <x:v>4.255422239637969</x:v>
      </x:c>
      <x:c r="C180" s="26" t="n">
        <x:f>0-(A180/$N$4)^2</x:f>
        <x:v>-3.826416924753743</x:v>
      </x:c>
      <x:c r="D180" s="26" t="n">
        <x:f>MIN(B180,$N$5)</x:f>
        <x:v>3.8</x:v>
      </x:c>
      <x:c r="E180" s="26" t="n">
        <x:f>IF(A180&lt;=$N$7,MAX(C180,$N$6),MAX(C180,$N$6*($N$8-A180)/($N$8-$N$7)))</x:f>
        <x:v>-3.936498822991455e-8</x:v>
      </x:c>
      <x:c r="F180" s="26" t="n">
        <x:f>IF(A180&lt;=$N$7,1+$N$9*A180/$N$7,$N$10+(A180-$N$7)*($N$12-$N$10)/($N$8-$N$7))</x:f>
        <x:v>3.127695384773301</x:v>
      </x:c>
      <x:c r="G180" s="26" t="n">
        <x:f>IF(A180&lt;=$N$7,1-$N$9*A180/$N$7,$N$11+(A180-$N$7)*($N$13-$N$11)/($N$8-$N$7))</x:f>
        <x:v>-1.127695384773301</x:v>
      </x:c>
      <x:c r="H180" s="26" t="n">
        <x:f>MIN(F180,B180)</x:f>
        <x:v>3.127695384773301</x:v>
      </x:c>
      <x:c r="I180" s="26" t="n">
        <x:f>MAX(G180,C180)</x:f>
        <x:v>-1.127695384773301</x:v>
      </x:c>
      <x:c r="J180" s="26" t="n">
        <x:f>MAX(D180,H180)</x:f>
        <x:v>3.8</x:v>
      </x:c>
      <x:c r="K180" s="26" t="n">
        <x:f>MIN(E180,I180)</x:f>
        <x:v>-1.127695384773301</x:v>
      </x:c>
      <x:c r="P180" s="26" t="n">
        <x:v>87.277627</x:v>
      </x:c>
      <x:c r="Q180" s="26" t="n">
        <x:v>3.8</x:v>
      </x:c>
      <x:c r="R180" s="26" t="n">
        <x:v>-1.127695384773301</x:v>
      </x:c>
      <x:c r="S180" s="26" t="n">
        <x:v>3.8</x:v>
      </x:c>
      <x:c r="T180" s="26" t="n">
        <x:v>-3.936498822991455e-8</x:v>
      </x:c>
      <x:c r="U180" s="26" t="n">
        <x:v>3.127695384773301</x:v>
      </x:c>
      <x:c r="V180" s="26" t="n">
        <x:v>-1.127695384773301</x:v>
      </x:c>
    </x:row>
  </x:sheetData>
  <x:mergeCells>
    <x:mergeCell ref="A1:K1"/>
  </x:mergeCells>
  <x:pageMargins left="0.7" right="0.7" top="0.75" bottom="0.75" header="0.3" footer="0.3"/>
  <x:drawing xmlns:r="http://schemas.openxmlformats.org/officeDocument/2006/relationships" r:id="R6f3c247073424be8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55" hidden="0" customWidth="1"/>
    <x:col min="4" max="4" width="58" hidden="0" customWidth="1"/>
  </x:cols>
  <x:sheetData>
    <x:row r="1">
      <x:c r="A1" s="5" t="str">
        <x:v>Sources Used for the V–n / Gust Envelope</x:v>
      </x:c>
      <x:c r="B1" s="5"/>
      <x:c r="C1" s="5"/>
      <x:c r="D1" s="5"/>
    </x:row>
    <x:row r="3">
      <x:c r="A3" s="14" t="str">
        <x:v>Type</x:v>
      </x:c>
      <x:c r="B3" s="14" t="str">
        <x:v>Source</x:v>
      </x:c>
      <x:c r="C3" s="14" t="str">
        <x:v>What it supports</x:v>
      </x:c>
      <x:c r="D3" s="14" t="str">
        <x:v>URL</x:v>
      </x:c>
    </x:row>
    <x:row r="4">
      <x:c r="A4" s="20" t="str">
        <x:v>Official standard record</x:v>
      </x:c>
      <x:c r="B4" s="20" t="str">
        <x:v>NATO AEP-4671, Unmanned Aircraft Systems Airworthiness Requirements (USAR), Edition B / active</x:v>
      </x:c>
      <x:c r="C4" s="20" t="str">
        <x:v>Active UAS airworthiness framework</x:v>
      </x:c>
      <x:c r="D4" s="20" t="str">
        <x:v>https://quicksearch.dla.mil/qsDocDetails.aspx?ident_number=283379</x:v>
      </x:c>
    </x:row>
    <x:row r="5">
      <x:c r="A5" s="20" t="str">
        <x:v>Peer-reviewed journal</x:v>
      </x:c>
      <x:c r="B5" s="20" t="str">
        <x:v>Gómez-Rodríguez, Villanueva-Cañizares &amp; Cuerno-Rejado, Aerospace 2026, 13(5), 428</x:v>
      </x:c>
      <x:c r="C5" s="20" t="str">
        <x:v>AEP-4671 applicability (150–20,000 kg RPA), discrete-gust model, 50/25 fps gusts, VD &gt;= 1.25 VC, envelope build-up</x:v>
      </x:c>
      <x:c r="D5" s="20" t="str">
        <x:v>https://doi.org/10.3390/aerospace13050428</x:v>
      </x:c>
    </x:row>
    <x:row r="6">
      <x:c r="A6" s="20" t="str">
        <x:v>Peer-reviewed journal</x:v>
      </x:c>
      <x:c r="B6" s="20" t="str">
        <x:v>Gómez-Rodríguez et al., Aerospace 2024, 11(9), 735</x:v>
      </x:c>
      <x:c r="C6" s="20" t="str">
        <x:v>Integration of AEP-4671 requirements into RPAS conceptual design</x:v>
      </x:c>
      <x:c r="D6" s="20" t="str">
        <x:v>https://doi.org/10.3390/aerospace11090735</x:v>
      </x:c>
    </x:row>
    <x:row r="7">
      <x:c r="A7" s="20" t="str">
        <x:v>Primary research report</x:v>
      </x:c>
      <x:c r="B7" s="20" t="str">
        <x:v>Pratt, K. G., NACA-TN-2964, 1953, A revised formula for the calculation of gust loads</x:v>
      </x:c>
      <x:c r="C7" s="20" t="str">
        <x:v>Classical discrete-gust / gust-alleviation formulation underlying the method</x:v>
      </x:c>
      <x:c r="D7" s="20" t="str">
        <x:v>https://ntrs.nasa.gov/citations/19930084025</x:v>
      </x:c>
    </x:row>
    <x:row r="8">
      <x:c r="A8" s="20" t="str">
        <x:v>Project report</x:v>
      </x:c>
      <x:c r="B8" s="20" t="str">
        <x:v>sonun_sonu.pdf</x:v>
      </x:c>
      <x:c r="C8" s="20" t="str">
        <x:v>Final mass, geometry, CLmax, payload, trapped fuel and cruise speed</x:v>
      </x:c>
      <x:c r="D8" s="20" t="str">
        <x:v>User-provided file</x:v>
      </x:c>
    </x:row>
    <x:row r="9">
      <x:c r="A9" s="20" t="str">
        <x:v>Project analysis</x:v>
      </x:c>
      <x:c r="B9" s="20" t="str">
        <x:v>Final Flow5 polar</x:v>
      </x:c>
      <x:c r="C9" s="20" t="str">
        <x:v>Aircraft lift-curve slope from -4° to +4°</x:v>
      </x:c>
      <x:c r="D9" s="20" t="str">
        <x:v>User-provided file</x:v>
      </x:c>
    </x:row>
    <x:row r="10">
      <x:c r="A10" s="20" t="str">
        <x:v>Project analysis</x:v>
      </x:c>
      <x:c r="B10" s="20" t="str">
        <x:v>XFLR5 NACA 4415 negative-alpha polar</x:v>
      </x:c>
      <x:c r="C10" s="20" t="str">
        <x:v>Provisional negative lift limit Cl,min = -1.2817</x:v>
      </x:c>
      <x:c r="D10" s="20" t="str">
        <x:v>User-provided file</x:v>
      </x:c>
    </x:row>
  </x:sheetData>
  <x:mergeCells>
    <x:mergeCell ref="A1:D1"/>
  </x:mergeCells>
  <x:pageMargins left="0.7" right="0.7" top="0.75" bottom="0.75" header="0.3" footer="0.3"/>
</x:worksheet>
</file>