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9a208a95b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D0_W0" sheetId="1" r:id="R8e3608cec5c248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"/>
    <x:numFmt numFmtId="201" formatCode="0.00"/>
    <x:numFmt numFmtId="202" formatCode="0.0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6">
    <x:border/>
    <x:border/>
    <x:border>
      <x:bottom style="thin">
        <x:color rgb="FF7F8C8D"/>
      </x:bottom>
    </x:border>
    <x:border>
      <x:bottom style="thin">
        <x:color rgb="FF7F8C8D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4" borderId="0" xfId="0" applyNumberFormat="1" applyFont="1" applyFill="1" applyBorder="1"/>
    <x:xf numFmtId="201" fontId="3" fillId="4" borderId="0" xfId="0" applyNumberFormat="1" applyFont="1" applyFill="1" applyBorder="1"/>
    <x:xf numFmtId="201" fontId="3" fillId="4" borderId="4" xfId="0" applyNumberFormat="1" applyFont="1" applyFill="1" applyBorder="1"/>
    <x:xf numFmtId="201" fontId="0" fillId="4" borderId="1" xfId="0" applyNumberFormat="1" applyFont="1" applyFill="1" applyBorder="1"/>
    <x:xf numFmtId="201" fontId="3" fillId="4" borderId="1" xfId="0" applyNumberFormat="1" applyFont="1" applyFill="1" applyBorder="1"/>
    <x:xf numFmtId="201" fontId="3" fillId="4" borderId="5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9889fecd024238" /><Relationship Type="http://schemas.openxmlformats.org/officeDocument/2006/relationships/theme" Target="/xl/theme/theme1.xml" Id="Ra43b3a5f397d43a4" /><Relationship Type="http://schemas.openxmlformats.org/officeDocument/2006/relationships/sharedStrings" Target="/xl/sharedStrings.xml" Id="R6d1cdca66cfb4f4f" /><Relationship Type="http://schemas.openxmlformats.org/officeDocument/2006/relationships/worksheet" Target="/xl/worksheets/sheet1.xml" Id="R8e3608cec5c248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242a99eb5243b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W0 sensitivity</c:v>
          </c:tx>
          <c:marker>
            <c:symbol val="none"/>
          </c:marker>
          <c:cat>
            <c:strRef>
              <c:f>'CD0_W0'!$A$4:$A$9</c:f>
              <c:strCache>
                <c:ptCount val="0"/>
              </c:strCache>
            </c:strRef>
          </c:cat>
          <c:val>
            <c:numRef>
              <c:f>'CD0_W0'!$B$4:$B$9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Initial W0</c:v>
          </c:tx>
          <c:marker>
            <c:symbol val="none"/>
          </c:marker>
          <c:cat>
            <c:strRef>
              <c:f>'CD0_W0'!$A$4:$A$9</c:f>
              <c:strCache>
                <c:ptCount val="0"/>
              </c:strCache>
            </c:strRef>
          </c:cat>
          <c:val>
            <c:numRef>
              <c:f>'CD0_W0'!$C$4:$C$9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-5% limit</c:v>
          </c:tx>
          <c:marker>
            <c:symbol val="none"/>
          </c:marker>
          <c:cat>
            <c:strRef>
              <c:f>'CD0_W0'!$A$4:$A$9</c:f>
              <c:strCache>
                <c:ptCount val="0"/>
              </c:strCache>
            </c:strRef>
          </c:cat>
          <c:val>
            <c:numRef>
              <c:f>'CD0_W0'!$D$4:$D$9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+5% limit</c:v>
          </c:tx>
          <c:marker>
            <c:symbol val="none"/>
          </c:marker>
          <c:cat>
            <c:strRef>
              <c:f>'CD0_W0'!$A$4:$A$9</c:f>
              <c:strCache>
                <c:ptCount val="0"/>
              </c:strCache>
            </c:strRef>
          </c:cat>
          <c:val>
            <c:numRef>
              <c:f>'CD0_W0'!$E$4:$E$9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CD0</a:t>
                </a:r>
              </a:p>
            </c:rich>
          </c:tx>
        </c:title>
        <c:numFmt formatCode="0.00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W0 [kg]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9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242a99eb5243b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5a59ba7f53474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7" hidden="0" customWidth="1"/>
    <x:col min="9" max="9" width="20" hidden="0" customWidth="1"/>
  </x:cols>
  <x:sheetData>
    <x:row r="1" ht="28" customHeight="1">
      <x:c r="A1" s="5" t="str">
        <x:v>CD0 – MTOW Coupled Iteration</x:v>
      </x:c>
      <x:c r="B1" s="5"/>
      <x:c r="C1" s="5"/>
      <x:c r="D1" s="5"/>
      <x:c r="E1" s="5"/>
      <x:c r="F1" s="5"/>
    </x:row>
    <x:row r="2">
      <x:c r="H2" s="15" t="str">
        <x:v>Summary</x:v>
      </x:c>
      <x:c r="I2" s="15" t="str">
        <x:v>Value</x:v>
      </x:c>
    </x:row>
    <x:row r="3" ht="22" customHeight="1">
      <x:c r="A3" s="15" t="str">
        <x:v>CD0</x:v>
      </x:c>
      <x:c r="B3" s="15" t="str">
        <x:v>W0 sensitivity [kg]</x:v>
      </x:c>
      <x:c r="C3" s="15" t="str">
        <x:v>Initial W0 [kg]</x:v>
      </x:c>
      <x:c r="D3" s="15" t="str">
        <x:v>-5% limit [kg]</x:v>
      </x:c>
      <x:c r="E3" s="15" t="str">
        <x:v>+5% limit [kg]</x:v>
      </x:c>
      <x:c r="F3" s="15"/>
      <x:c r="H3" s="34" t="str">
        <x:v>Initial W0 [kg]</x:v>
      </x:c>
      <x:c r="I3" s="35" t="n">
        <x:v>1483.06</x:v>
      </x:c>
    </x:row>
    <x:row r="4" ht="22" customHeight="1">
      <x:c r="A4" s="22" t="n">
        <x:v>0.014</x:v>
      </x:c>
      <x:c r="B4" s="24" t="n">
        <x:v>1456.3</x:v>
      </x:c>
      <x:c r="C4" s="24" t="n">
        <x:v>1483.06</x:v>
      </x:c>
      <x:c r="D4" s="24" t="n">
        <x:f>$I$6</x:f>
        <x:v>1408.907</x:v>
      </x:c>
      <x:c r="E4" s="24" t="n">
        <x:f>$I$7</x:f>
        <x:v>1557.213</x:v>
      </x:c>
      <x:c r="F4" s="24"/>
      <x:c r="H4" s="34" t="str">
        <x:v>Final Study 05 W0 [kg]</x:v>
      </x:c>
      <x:c r="I4" s="35" t="n">
        <x:v>1464.5</x:v>
      </x:c>
    </x:row>
    <x:row r="5" ht="22" customHeight="1">
      <x:c r="A5" s="22" t="n">
        <x:v>0.016</x:v>
      </x:c>
      <x:c r="B5" s="24" t="n">
        <x:v>1497.8</x:v>
      </x:c>
      <x:c r="C5" s="24" t="n">
        <x:v>1483.06</x:v>
      </x:c>
      <x:c r="D5" s="24" t="n">
        <x:f>$I$6</x:f>
        <x:v>1408.907</x:v>
      </x:c>
      <x:c r="E5" s="24" t="n">
        <x:f>$I$7</x:f>
        <x:v>1557.213</x:v>
      </x:c>
      <x:c r="F5" s="24"/>
      <x:c r="H5" s="34" t="str">
        <x:v>Final OpenVSP CD0</x:v>
      </x:c>
      <x:c r="I5" s="36" t="n">
        <x:v>0.01605</x:v>
      </x:c>
    </x:row>
    <x:row r="6" ht="22" customHeight="1">
      <x:c r="A6" s="22" t="n">
        <x:v>0.018</x:v>
      </x:c>
      <x:c r="B6" s="24" t="n">
        <x:v>1538.5</x:v>
      </x:c>
      <x:c r="C6" s="24" t="n">
        <x:v>1483.06</x:v>
      </x:c>
      <x:c r="D6" s="24" t="n">
        <x:f>$I$6</x:f>
        <x:v>1408.907</x:v>
      </x:c>
      <x:c r="E6" s="24" t="n">
        <x:f>$I$7</x:f>
        <x:v>1557.213</x:v>
      </x:c>
      <x:c r="F6" s="30"/>
      <x:c r="H6" s="34" t="str">
        <x:v>Lower acceptance (-5%) [kg]</x:v>
      </x:c>
      <x:c r="I6" s="35" t="n">
        <x:f>I3*(1-5%)</x:f>
        <x:v>1408.907</x:v>
      </x:c>
    </x:row>
    <x:row r="7" ht="22" customHeight="1">
      <x:c r="A7" s="22" t="n">
        <x:v>0.02</x:v>
      </x:c>
      <x:c r="B7" s="24" t="n">
        <x:v>1578.6</x:v>
      </x:c>
      <x:c r="C7" s="24" t="n">
        <x:v>1483.06</x:v>
      </x:c>
      <x:c r="D7" s="24" t="n">
        <x:f>$I$6</x:f>
        <x:v>1408.907</x:v>
      </x:c>
      <x:c r="E7" s="24" t="n">
        <x:f>$I$7</x:f>
        <x:v>1557.213</x:v>
      </x:c>
      <x:c r="F7" s="24"/>
      <x:c r="H7" s="34" t="str">
        <x:v>Upper acceptance (+5%) [kg]</x:v>
      </x:c>
      <x:c r="I7" s="35" t="n">
        <x:f>I3*(1+5%)</x:f>
        <x:v>1557.213</x:v>
      </x:c>
    </x:row>
    <x:row r="8" ht="22" customHeight="1">
      <x:c r="A8" s="22" t="n">
        <x:v>0.022</x:v>
      </x:c>
      <x:c r="B8" s="24" t="n">
        <x:v>1618.4</x:v>
      </x:c>
      <x:c r="C8" s="24" t="n">
        <x:v>1483.06</x:v>
      </x:c>
      <x:c r="D8" s="24" t="n">
        <x:f>$I$6</x:f>
        <x:v>1408.907</x:v>
      </x:c>
      <x:c r="E8" s="24" t="n">
        <x:f>$I$7</x:f>
        <x:v>1557.213</x:v>
      </x:c>
      <x:c r="F8" s="24"/>
    </x:row>
    <x:row r="9" ht="22" customHeight="1">
      <x:c r="A9" s="22" t="n">
        <x:v>0.025</x:v>
      </x:c>
      <x:c r="B9" s="24" t="n">
        <x:v>1677.7</x:v>
      </x:c>
      <x:c r="C9" s="24" t="n">
        <x:v>1483.06</x:v>
      </x:c>
      <x:c r="D9" s="24" t="n">
        <x:f>$I$6</x:f>
        <x:v>1408.907</x:v>
      </x:c>
      <x:c r="E9" s="24" t="n">
        <x:f>$I$7</x:f>
        <x:v>1557.213</x:v>
      </x:c>
      <x:c r="F9" s="24"/>
      <x:c r="H9" s="15" t="str">
        <x:v>Check</x:v>
      </x:c>
      <x:c r="I9" s="15" t="str">
        <x:v>Result</x:v>
      </x:c>
    </x:row>
    <x:row r="10" ht="22" customHeight="1">
      <x:c r="A10" s="22"/>
      <x:c r="B10" s="24"/>
      <x:c r="C10" s="24"/>
      <x:c r="D10" s="24"/>
      <x:c r="E10" s="24"/>
      <x:c r="F10" s="24"/>
      <x:c r="H10" s="34" t="str">
        <x:v>Delta W0 [kg]</x:v>
      </x:c>
      <x:c r="I10" s="35" t="n">
        <x:f>I4-I3</x:f>
        <x:v>-18.559999999999945</x:v>
      </x:c>
    </x:row>
    <x:row r="11">
      <x:c r="H11" s="34" t="str">
        <x:v>Delta W0 [%]</x:v>
      </x:c>
      <x:c r="I11" s="40" t="n">
        <x:f>(I4/I3-1)</x:f>
        <x:v>-0.012514665623777788</x:v>
      </x:c>
    </x:row>
    <x:row r="12">
      <x:c r="A12" s="45" t="str">
        <x:v>Final Study 05 coupled result: CD0 = 0.01605 and W0 = 1464.5 kg. It is shown in the summary at right, not on the sensitivity line, because the curve above comes from the earlier one-variable CD0 sensitivity sweep while the final value comes from the full coupled closure.</x:v>
      </x:c>
      <x:c r="B12" s="45"/>
      <x:c r="C12" s="45"/>
      <x:c r="D12" s="45"/>
      <x:c r="E12" s="45"/>
      <x:c r="F12" s="45"/>
      <x:c r="H12" s="34" t="str">
        <x:v>Within ±5%?</x:v>
      </x:c>
      <x:c r="I12" s="34" t="str">
        <x:f>IF(AND(I4&gt;=I6,I4&lt;=I7),"YES","NO")</x:f>
        <x:v>YES</x:v>
      </x:c>
    </x:row>
    <x:row r="13">
      <x:c r="A13" s="45"/>
      <x:c r="B13" s="45"/>
      <x:c r="C13" s="45"/>
      <x:c r="D13" s="45"/>
      <x:c r="E13" s="45"/>
      <x:c r="F13" s="45"/>
      <x:c r="H13" s="34" t="str">
        <x:v>Final point note</x:v>
      </x:c>
      <x:c r="I13" s="34" t="str">
        <x:v>Final coupled Study 05 result</x:v>
      </x:c>
    </x:row>
    <x:row r="14">
      <x:c r="A14" s="45"/>
      <x:c r="B14" s="45"/>
      <x:c r="C14" s="45"/>
      <x:c r="D14" s="45"/>
      <x:c r="E14" s="45"/>
      <x:c r="F14" s="45"/>
    </x:row>
  </x:sheetData>
  <x:mergeCells>
    <x:mergeCell ref="A1:F1"/>
    <x:mergeCell ref="A12:F14"/>
  </x:mergeCells>
  <x:pageMargins left="0.7" right="0.7" top="0.75" bottom="0.75" header="0.3" footer="0.3"/>
  <x:drawing xmlns:r="http://schemas.openxmlformats.org/officeDocument/2006/relationships" r:id="R3b5a59ba7f534746"/>
</x:worksheet>
</file>