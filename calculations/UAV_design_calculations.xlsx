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ray\Desktop\"/>
    </mc:Choice>
  </mc:AlternateContent>
  <xr:revisionPtr revIDLastSave="0" documentId="13_ncr:1_{3AF8C4AE-7584-4652-97CC-5960C8768720}" xr6:coauthVersionLast="47" xr6:coauthVersionMax="47" xr10:uidLastSave="{00000000-0000-0000-0000-000000000000}"/>
  <bookViews>
    <workbookView xWindow="-108" yWindow="-108" windowWidth="23256" windowHeight="12456" firstSheet="13" activeTab="17" xr2:uid="{057A52F6-889C-45F0-AAE6-C9BADF736103}"/>
  </bookViews>
  <sheets>
    <sheet name="RFP_İNPUTS" sheetId="2" r:id="rId1"/>
    <sheet name="02_Unit_Conversions" sheetId="3" r:id="rId2"/>
    <sheet name="03_Atmosphere" sheetId="4" r:id="rId3"/>
    <sheet name="04_Competitor_Data" sheetId="5" r:id="rId4"/>
    <sheet name="05_Assumptions" sheetId="6" r:id="rId5"/>
    <sheet name="06_LD_and_Speeds" sheetId="8" r:id="rId6"/>
    <sheet name="07_Mission_Fractions" sheetId="9" r:id="rId7"/>
    <sheet name="08_Weight_Estimation" sheetId="10" r:id="rId8"/>
    <sheet name="09_Mission_Profiles" sheetId="11" r:id="rId9"/>
    <sheet name="10_Payload_Trade" sheetId="12" r:id="rId10"/>
    <sheet name="11_Geometry_Sizing" sheetId="13" r:id="rId11"/>
    <sheet name="12_Constraint_Analysis" sheetId="14" r:id="rId12"/>
    <sheet name="13_Compliance_Matrix" sheetId="15" r:id="rId13"/>
    <sheet name="14_Optional Takeoff Distance " sheetId="16" r:id="rId14"/>
    <sheet name="15_" sheetId="17" r:id="rId15"/>
    <sheet name="RAW Constrait" sheetId="19" r:id="rId16"/>
    <sheet name="Normalization" sheetId="20" r:id="rId17"/>
    <sheet name="Weight_Norm_Constraint" sheetId="21" r:id="rId18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1" l="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2" i="21"/>
  <c r="A3" i="21"/>
  <c r="B2" i="21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2" i="20"/>
  <c r="A3" i="20"/>
  <c r="B2" i="20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2" i="19"/>
  <c r="B73" i="19"/>
  <c r="B74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" i="19"/>
  <c r="B4" i="19"/>
  <c r="B5" i="19"/>
  <c r="B6" i="19"/>
  <c r="B7" i="19"/>
  <c r="B8" i="19"/>
  <c r="B9" i="19"/>
  <c r="B10" i="19"/>
  <c r="B11" i="19"/>
  <c r="B2" i="19"/>
  <c r="A61" i="19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44" i="19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C4" i="14"/>
  <c r="C24" i="16"/>
  <c r="C13" i="16"/>
  <c r="C6" i="9"/>
  <c r="C28" i="16"/>
  <c r="C25" i="16"/>
  <c r="C19" i="16"/>
  <c r="C15" i="16"/>
  <c r="C14" i="16"/>
  <c r="C10" i="16"/>
  <c r="C8" i="16"/>
  <c r="C7" i="16"/>
  <c r="C6" i="16"/>
  <c r="C52" i="14"/>
  <c r="C53" i="14"/>
  <c r="C54" i="14"/>
  <c r="C55" i="14"/>
  <c r="C58" i="14"/>
  <c r="C61" i="14"/>
  <c r="C40" i="14"/>
  <c r="C37" i="14"/>
  <c r="C33" i="14"/>
  <c r="C34" i="14" s="1"/>
  <c r="C32" i="14"/>
  <c r="C31" i="14"/>
  <c r="C2" i="14"/>
  <c r="C15" i="14"/>
  <c r="C18" i="14"/>
  <c r="C14" i="14"/>
  <c r="C7" i="14"/>
  <c r="C10" i="14" s="1"/>
  <c r="C8" i="14"/>
  <c r="C9" i="14"/>
  <c r="C12" i="14"/>
  <c r="C13" i="14"/>
  <c r="C14" i="13"/>
  <c r="C13" i="13"/>
  <c r="C15" i="13" s="1"/>
  <c r="C11" i="16" s="1"/>
  <c r="C5" i="13"/>
  <c r="C4" i="13"/>
  <c r="C2" i="13"/>
  <c r="C6" i="13"/>
  <c r="C7" i="13"/>
  <c r="C8" i="13"/>
  <c r="C9" i="13"/>
  <c r="C10" i="13"/>
  <c r="C2" i="12"/>
  <c r="D2" i="12"/>
  <c r="F2" i="12" s="1"/>
  <c r="E2" i="12"/>
  <c r="C3" i="12"/>
  <c r="E3" i="12" s="1"/>
  <c r="D3" i="12"/>
  <c r="F3" i="12"/>
  <c r="C4" i="12"/>
  <c r="D97" i="12" s="1"/>
  <c r="E97" i="12" s="1"/>
  <c r="D4" i="12"/>
  <c r="F4" i="12" s="1"/>
  <c r="E4" i="12"/>
  <c r="C5" i="12"/>
  <c r="D5" i="12"/>
  <c r="F5" i="12" s="1"/>
  <c r="E5" i="12"/>
  <c r="C6" i="12"/>
  <c r="E6" i="12" s="1"/>
  <c r="D6" i="12"/>
  <c r="F6" i="12"/>
  <c r="C7" i="12"/>
  <c r="B120" i="12" s="1"/>
  <c r="C120" i="12" s="1"/>
  <c r="D7" i="12"/>
  <c r="F7" i="12" s="1"/>
  <c r="E7" i="12"/>
  <c r="C8" i="12"/>
  <c r="D8" i="12"/>
  <c r="F8" i="12" s="1"/>
  <c r="E8" i="12"/>
  <c r="C9" i="12"/>
  <c r="E9" i="12" s="1"/>
  <c r="D9" i="12"/>
  <c r="F9" i="12"/>
  <c r="C10" i="12"/>
  <c r="D10" i="12"/>
  <c r="F10" i="12" s="1"/>
  <c r="E10" i="12"/>
  <c r="C11" i="12"/>
  <c r="D11" i="12"/>
  <c r="F11" i="12" s="1"/>
  <c r="E11" i="12"/>
  <c r="C12" i="12"/>
  <c r="E12" i="12" s="1"/>
  <c r="D12" i="12"/>
  <c r="F12" i="12"/>
  <c r="B95" i="12"/>
  <c r="C95" i="12" s="1"/>
  <c r="D95" i="12"/>
  <c r="E95" i="12" s="1"/>
  <c r="B96" i="12"/>
  <c r="C96" i="12" s="1"/>
  <c r="B97" i="12"/>
  <c r="C97" i="12"/>
  <c r="B100" i="12"/>
  <c r="D100" i="12"/>
  <c r="E100" i="12" s="1"/>
  <c r="B102" i="12"/>
  <c r="C102" i="12"/>
  <c r="C110" i="12"/>
  <c r="D118" i="12"/>
  <c r="E118" i="12"/>
  <c r="D119" i="12"/>
  <c r="E119" i="12" s="1"/>
  <c r="B122" i="12"/>
  <c r="C122" i="12" s="1"/>
  <c r="D122" i="12"/>
  <c r="E122" i="12" s="1"/>
  <c r="B123" i="12"/>
  <c r="C123" i="12" s="1"/>
  <c r="B124" i="12"/>
  <c r="C124" i="12" s="1"/>
  <c r="D124" i="12"/>
  <c r="E124" i="12" s="1"/>
  <c r="C132" i="12"/>
  <c r="B140" i="12"/>
  <c r="C140" i="12"/>
  <c r="D141" i="12"/>
  <c r="E141" i="12" s="1"/>
  <c r="B142" i="12"/>
  <c r="B144" i="12"/>
  <c r="C144" i="12" s="1"/>
  <c r="D144" i="12"/>
  <c r="B145" i="12"/>
  <c r="C145" i="12" s="1"/>
  <c r="D146" i="12"/>
  <c r="E146" i="12"/>
  <c r="C154" i="12"/>
  <c r="D162" i="12"/>
  <c r="E162" i="12" s="1"/>
  <c r="B163" i="12"/>
  <c r="D163" i="12"/>
  <c r="E163" i="12" s="1"/>
  <c r="D164" i="12"/>
  <c r="E164" i="12"/>
  <c r="D167" i="12"/>
  <c r="E167" i="12"/>
  <c r="C178" i="12"/>
  <c r="B186" i="12"/>
  <c r="D186" i="12"/>
  <c r="E186" i="12"/>
  <c r="B188" i="12"/>
  <c r="C188" i="12" s="1"/>
  <c r="D190" i="12"/>
  <c r="E190" i="12"/>
  <c r="B191" i="12"/>
  <c r="C191" i="12" s="1"/>
  <c r="D192" i="12"/>
  <c r="E192" i="12" s="1"/>
  <c r="C198" i="12"/>
  <c r="B207" i="12"/>
  <c r="C207" i="12" s="1"/>
  <c r="D207" i="12"/>
  <c r="B209" i="12"/>
  <c r="C209" i="12" s="1"/>
  <c r="D209" i="12"/>
  <c r="E209" i="12" s="1"/>
  <c r="B211" i="12"/>
  <c r="C211" i="12" s="1"/>
  <c r="D211" i="12"/>
  <c r="E211" i="12" s="1"/>
  <c r="B212" i="12"/>
  <c r="C212" i="12" s="1"/>
  <c r="C219" i="12"/>
  <c r="B226" i="12"/>
  <c r="C226" i="12" s="1"/>
  <c r="D228" i="12"/>
  <c r="E228" i="12" s="1"/>
  <c r="B229" i="12"/>
  <c r="C229" i="12" s="1"/>
  <c r="D229" i="12"/>
  <c r="E229" i="12" s="1"/>
  <c r="B230" i="12"/>
  <c r="C230" i="12" s="1"/>
  <c r="D230" i="12"/>
  <c r="E230" i="12" s="1"/>
  <c r="D232" i="12"/>
  <c r="E232" i="12" s="1"/>
  <c r="B233" i="12"/>
  <c r="C233" i="12" s="1"/>
  <c r="D233" i="12"/>
  <c r="E233" i="12" s="1"/>
  <c r="C238" i="12"/>
  <c r="B245" i="12"/>
  <c r="C245" i="12"/>
  <c r="D247" i="12"/>
  <c r="E247" i="12" s="1"/>
  <c r="B248" i="12"/>
  <c r="C248" i="12" s="1"/>
  <c r="B249" i="12"/>
  <c r="C249" i="12" s="1"/>
  <c r="D249" i="12"/>
  <c r="E249" i="12" s="1"/>
  <c r="D252" i="12"/>
  <c r="E252" i="12"/>
  <c r="C4" i="10"/>
  <c r="B5" i="11"/>
  <c r="D12" i="10"/>
  <c r="E12" i="10" s="1"/>
  <c r="C29" i="10"/>
  <c r="C25" i="10"/>
  <c r="C26" i="10"/>
  <c r="C14" i="10"/>
  <c r="C15" i="10"/>
  <c r="C16" i="10"/>
  <c r="C17" i="10"/>
  <c r="B12" i="10"/>
  <c r="C12" i="10" s="1"/>
  <c r="B13" i="10"/>
  <c r="C13" i="10" s="1"/>
  <c r="B14" i="10"/>
  <c r="B15" i="10"/>
  <c r="B16" i="10"/>
  <c r="B17" i="10"/>
  <c r="B18" i="10"/>
  <c r="C18" i="10" s="1"/>
  <c r="B11" i="10"/>
  <c r="C11" i="10" s="1"/>
  <c r="C24" i="9"/>
  <c r="C8" i="9"/>
  <c r="C7" i="9"/>
  <c r="C9" i="9"/>
  <c r="C10" i="9"/>
  <c r="C11" i="9"/>
  <c r="C12" i="9"/>
  <c r="C13" i="9"/>
  <c r="C14" i="9"/>
  <c r="C16" i="9"/>
  <c r="C21" i="8"/>
  <c r="C20" i="8"/>
  <c r="C19" i="8"/>
  <c r="C18" i="8"/>
  <c r="C17" i="8"/>
  <c r="C16" i="8"/>
  <c r="C15" i="8"/>
  <c r="C14" i="8"/>
  <c r="C13" i="8"/>
  <c r="C11" i="8"/>
  <c r="C8" i="8"/>
  <c r="C7" i="8"/>
  <c r="C6" i="8"/>
  <c r="C5" i="8"/>
  <c r="AS3" i="5"/>
  <c r="AS4" i="5"/>
  <c r="AS5" i="5"/>
  <c r="AS6" i="5"/>
  <c r="AR3" i="5"/>
  <c r="AR4" i="5"/>
  <c r="AR5" i="5"/>
  <c r="AR6" i="5"/>
  <c r="AS2" i="5"/>
  <c r="AR2" i="5"/>
  <c r="AP3" i="5"/>
  <c r="AP4" i="5"/>
  <c r="AP5" i="5"/>
  <c r="AP6" i="5"/>
  <c r="AP2" i="5"/>
  <c r="AL3" i="5"/>
  <c r="AM3" i="5"/>
  <c r="AN3" i="5" s="1"/>
  <c r="AO3" i="5" s="1"/>
  <c r="AL4" i="5"/>
  <c r="AM4" i="5" s="1"/>
  <c r="AN4" i="5" s="1"/>
  <c r="AO4" i="5" s="1"/>
  <c r="AL5" i="5"/>
  <c r="AM5" i="5"/>
  <c r="AN5" i="5" s="1"/>
  <c r="AO5" i="5" s="1"/>
  <c r="AL6" i="5"/>
  <c r="AM6" i="5"/>
  <c r="AN6" i="5"/>
  <c r="AO6" i="5" s="1"/>
  <c r="AO2" i="5"/>
  <c r="AN2" i="5"/>
  <c r="AM2" i="5"/>
  <c r="AL2" i="5"/>
  <c r="O4" i="4"/>
  <c r="O5" i="4"/>
  <c r="O3" i="4"/>
  <c r="M5" i="4"/>
  <c r="L3" i="4"/>
  <c r="M3" i="4" s="1"/>
  <c r="N3" i="4" s="1"/>
  <c r="K5" i="4"/>
  <c r="L5" i="4" s="1"/>
  <c r="K4" i="4"/>
  <c r="L4" i="4" s="1"/>
  <c r="M4" i="4" s="1"/>
  <c r="K3" i="4"/>
  <c r="J9" i="3"/>
  <c r="J8" i="3"/>
  <c r="J7" i="3"/>
  <c r="J6" i="3"/>
  <c r="J5" i="3"/>
  <c r="J4" i="3"/>
  <c r="J3" i="3"/>
  <c r="J2" i="3"/>
  <c r="B3" i="21" l="1"/>
  <c r="A4" i="21"/>
  <c r="A4" i="20"/>
  <c r="B3" i="20"/>
  <c r="C21" i="16"/>
  <c r="C22" i="16" s="1"/>
  <c r="C20" i="16"/>
  <c r="C23" i="16" s="1"/>
  <c r="C29" i="16" s="1"/>
  <c r="C31" i="16" s="1"/>
  <c r="C19" i="13"/>
  <c r="C5" i="14"/>
  <c r="C6" i="14" s="1"/>
  <c r="F229" i="12"/>
  <c r="D212" i="12"/>
  <c r="E212" i="12" s="1"/>
  <c r="D208" i="12"/>
  <c r="E208" i="12" s="1"/>
  <c r="B192" i="12"/>
  <c r="C192" i="12" s="1"/>
  <c r="D187" i="12"/>
  <c r="D168" i="12"/>
  <c r="E168" i="12" s="1"/>
  <c r="B164" i="12"/>
  <c r="C164" i="12" s="1"/>
  <c r="B146" i="12"/>
  <c r="C146" i="12" s="1"/>
  <c r="B141" i="12"/>
  <c r="C141" i="12" s="1"/>
  <c r="D123" i="12"/>
  <c r="F123" i="12" s="1"/>
  <c r="G123" i="12" s="1"/>
  <c r="B119" i="12"/>
  <c r="C119" i="12" s="1"/>
  <c r="D101" i="12"/>
  <c r="E101" i="12" s="1"/>
  <c r="D248" i="12"/>
  <c r="E248" i="12" s="1"/>
  <c r="B208" i="12"/>
  <c r="C208" i="12" s="1"/>
  <c r="D191" i="12"/>
  <c r="E191" i="12" s="1"/>
  <c r="B187" i="12"/>
  <c r="C187" i="12" s="1"/>
  <c r="B168" i="12"/>
  <c r="C168" i="12" s="1"/>
  <c r="D145" i="12"/>
  <c r="E145" i="12" s="1"/>
  <c r="D140" i="12"/>
  <c r="E140" i="12" s="1"/>
  <c r="F118" i="12"/>
  <c r="G118" i="12" s="1"/>
  <c r="B101" i="12"/>
  <c r="C101" i="12" s="1"/>
  <c r="D96" i="12"/>
  <c r="F163" i="12"/>
  <c r="B247" i="12"/>
  <c r="B167" i="12"/>
  <c r="B162" i="12"/>
  <c r="C162" i="12" s="1"/>
  <c r="D121" i="12"/>
  <c r="E121" i="12" s="1"/>
  <c r="D251" i="12"/>
  <c r="E251" i="12" s="1"/>
  <c r="D246" i="12"/>
  <c r="E246" i="12" s="1"/>
  <c r="B232" i="12"/>
  <c r="C232" i="12" s="1"/>
  <c r="D227" i="12"/>
  <c r="E227" i="12" s="1"/>
  <c r="D210" i="12"/>
  <c r="E210" i="12" s="1"/>
  <c r="B206" i="12"/>
  <c r="C206" i="12" s="1"/>
  <c r="D189" i="12"/>
  <c r="E189" i="12" s="1"/>
  <c r="D166" i="12"/>
  <c r="E166" i="12" s="1"/>
  <c r="D161" i="12"/>
  <c r="E161" i="12" s="1"/>
  <c r="D143" i="12"/>
  <c r="E143" i="12" s="1"/>
  <c r="D139" i="12"/>
  <c r="B121" i="12"/>
  <c r="C121" i="12" s="1"/>
  <c r="D117" i="12"/>
  <c r="E117" i="12" s="1"/>
  <c r="B99" i="12"/>
  <c r="C99" i="12" s="1"/>
  <c r="F100" i="12"/>
  <c r="G100" i="12" s="1"/>
  <c r="F190" i="12"/>
  <c r="G190" i="12" s="1"/>
  <c r="B252" i="12"/>
  <c r="C252" i="12" s="1"/>
  <c r="B228" i="12"/>
  <c r="C228" i="12" s="1"/>
  <c r="D206" i="12"/>
  <c r="E206" i="12" s="1"/>
  <c r="B190" i="12"/>
  <c r="C190" i="12" s="1"/>
  <c r="B118" i="12"/>
  <c r="C118" i="12" s="1"/>
  <c r="D99" i="12"/>
  <c r="B251" i="12"/>
  <c r="C251" i="12" s="1"/>
  <c r="D231" i="12"/>
  <c r="E231" i="12" s="1"/>
  <c r="B227" i="12"/>
  <c r="C227" i="12" s="1"/>
  <c r="B210" i="12"/>
  <c r="C210" i="12" s="1"/>
  <c r="D185" i="12"/>
  <c r="B166" i="12"/>
  <c r="C166" i="12" s="1"/>
  <c r="B161" i="12"/>
  <c r="C161" i="12" s="1"/>
  <c r="B143" i="12"/>
  <c r="C143" i="12" s="1"/>
  <c r="B117" i="12"/>
  <c r="C117" i="12" s="1"/>
  <c r="D98" i="12"/>
  <c r="E98" i="12" s="1"/>
  <c r="D250" i="12"/>
  <c r="E250" i="12" s="1"/>
  <c r="B246" i="12"/>
  <c r="C246" i="12" s="1"/>
  <c r="B231" i="12"/>
  <c r="C231" i="12" s="1"/>
  <c r="F209" i="12"/>
  <c r="G209" i="12" s="1"/>
  <c r="D205" i="12"/>
  <c r="E205" i="12" s="1"/>
  <c r="B189" i="12"/>
  <c r="C189" i="12" s="1"/>
  <c r="D165" i="12"/>
  <c r="F165" i="12" s="1"/>
  <c r="G165" i="12" s="1"/>
  <c r="B139" i="12"/>
  <c r="C139" i="12" s="1"/>
  <c r="D120" i="12"/>
  <c r="E120" i="12" s="1"/>
  <c r="B98" i="12"/>
  <c r="C98" i="12" s="1"/>
  <c r="B250" i="12"/>
  <c r="C250" i="12" s="1"/>
  <c r="D245" i="12"/>
  <c r="F245" i="12" s="1"/>
  <c r="D226" i="12"/>
  <c r="E226" i="12" s="1"/>
  <c r="B205" i="12"/>
  <c r="D188" i="12"/>
  <c r="B185" i="12"/>
  <c r="C185" i="12" s="1"/>
  <c r="B165" i="12"/>
  <c r="C165" i="12" s="1"/>
  <c r="D142" i="12"/>
  <c r="E142" i="12" s="1"/>
  <c r="D102" i="12"/>
  <c r="F102" i="12" s="1"/>
  <c r="G102" i="12" s="1"/>
  <c r="F97" i="12"/>
  <c r="G97" i="12" s="1"/>
  <c r="F164" i="12"/>
  <c r="G164" i="12" s="1"/>
  <c r="F143" i="12"/>
  <c r="G143" i="12" s="1"/>
  <c r="F186" i="12"/>
  <c r="G186" i="12" s="1"/>
  <c r="F211" i="12"/>
  <c r="G211" i="12" s="1"/>
  <c r="F192" i="12"/>
  <c r="G192" i="12" s="1"/>
  <c r="F121" i="12"/>
  <c r="G121" i="12" s="1"/>
  <c r="F231" i="12"/>
  <c r="G231" i="12" s="1"/>
  <c r="F188" i="12"/>
  <c r="G188" i="12" s="1"/>
  <c r="F162" i="12"/>
  <c r="G162" i="12" s="1"/>
  <c r="F249" i="12"/>
  <c r="G249" i="12" s="1"/>
  <c r="F227" i="12"/>
  <c r="G227" i="12" s="1"/>
  <c r="F207" i="12"/>
  <c r="G207" i="12" s="1"/>
  <c r="F144" i="12"/>
  <c r="G144" i="12" s="1"/>
  <c r="E245" i="12"/>
  <c r="E207" i="12"/>
  <c r="C205" i="12"/>
  <c r="E188" i="12"/>
  <c r="C186" i="12"/>
  <c r="E165" i="12"/>
  <c r="C163" i="12"/>
  <c r="E144" i="12"/>
  <c r="C142" i="12"/>
  <c r="C100" i="12"/>
  <c r="F226" i="12"/>
  <c r="G226" i="12" s="1"/>
  <c r="F122" i="12"/>
  <c r="G122" i="12" s="1"/>
  <c r="F251" i="12"/>
  <c r="G251" i="12" s="1"/>
  <c r="F233" i="12"/>
  <c r="G233" i="12" s="1"/>
  <c r="F117" i="12"/>
  <c r="G117" i="12" s="1"/>
  <c r="F246" i="12"/>
  <c r="G246" i="12" s="1"/>
  <c r="F124" i="12"/>
  <c r="G124" i="12" s="1"/>
  <c r="F119" i="12"/>
  <c r="G119" i="12" s="1"/>
  <c r="F248" i="12"/>
  <c r="G248" i="12" s="1"/>
  <c r="F230" i="12"/>
  <c r="G230" i="12" s="1"/>
  <c r="F250" i="12"/>
  <c r="G250" i="12" s="1"/>
  <c r="F212" i="12"/>
  <c r="G212" i="12" s="1"/>
  <c r="F95" i="12"/>
  <c r="G95" i="12" s="1"/>
  <c r="G245" i="12"/>
  <c r="G229" i="12"/>
  <c r="G163" i="12"/>
  <c r="D14" i="10"/>
  <c r="D13" i="10"/>
  <c r="F13" i="10" s="1"/>
  <c r="G13" i="10" s="1"/>
  <c r="F14" i="10"/>
  <c r="G14" i="10" s="1"/>
  <c r="E14" i="10"/>
  <c r="D18" i="10"/>
  <c r="E13" i="10"/>
  <c r="D11" i="10"/>
  <c r="F12" i="10"/>
  <c r="G12" i="10" s="1"/>
  <c r="D17" i="10"/>
  <c r="D16" i="10"/>
  <c r="D15" i="10"/>
  <c r="N5" i="4"/>
  <c r="N4" i="4"/>
  <c r="A5" i="21" l="1"/>
  <c r="B4" i="21"/>
  <c r="B4" i="20"/>
  <c r="A5" i="20"/>
  <c r="C35" i="14"/>
  <c r="C57" i="14"/>
  <c r="C36" i="14"/>
  <c r="C56" i="14"/>
  <c r="C16" i="14"/>
  <c r="C17" i="14"/>
  <c r="E185" i="12"/>
  <c r="F185" i="12"/>
  <c r="G185" i="12" s="1"/>
  <c r="F101" i="12"/>
  <c r="G101" i="12" s="1"/>
  <c r="F187" i="12"/>
  <c r="G187" i="12" s="1"/>
  <c r="E187" i="12"/>
  <c r="F140" i="12"/>
  <c r="G140" i="12" s="1"/>
  <c r="F206" i="12"/>
  <c r="G206" i="12" s="1"/>
  <c r="F120" i="12"/>
  <c r="G120" i="12" s="1"/>
  <c r="F139" i="12"/>
  <c r="G139" i="12" s="1"/>
  <c r="E139" i="12"/>
  <c r="F145" i="12"/>
  <c r="G145" i="12" s="1"/>
  <c r="F166" i="12"/>
  <c r="G166" i="12" s="1"/>
  <c r="F205" i="12"/>
  <c r="G205" i="12" s="1"/>
  <c r="E99" i="12"/>
  <c r="F99" i="12"/>
  <c r="G99" i="12" s="1"/>
  <c r="C167" i="12"/>
  <c r="F167" i="12"/>
  <c r="G167" i="12" s="1"/>
  <c r="F232" i="12"/>
  <c r="G232" i="12" s="1"/>
  <c r="F168" i="12"/>
  <c r="G168" i="12" s="1"/>
  <c r="F189" i="12"/>
  <c r="G189" i="12" s="1"/>
  <c r="F208" i="12"/>
  <c r="G208" i="12" s="1"/>
  <c r="F142" i="12"/>
  <c r="G142" i="12" s="1"/>
  <c r="F98" i="12"/>
  <c r="G98" i="12" s="1"/>
  <c r="F161" i="12"/>
  <c r="G161" i="12" s="1"/>
  <c r="E102" i="12"/>
  <c r="C247" i="12"/>
  <c r="F247" i="12"/>
  <c r="G247" i="12" s="1"/>
  <c r="F252" i="12"/>
  <c r="G252" i="12" s="1"/>
  <c r="F191" i="12"/>
  <c r="G191" i="12" s="1"/>
  <c r="F141" i="12"/>
  <c r="G141" i="12" s="1"/>
  <c r="F210" i="12"/>
  <c r="G210" i="12" s="1"/>
  <c r="F228" i="12"/>
  <c r="G228" i="12" s="1"/>
  <c r="E123" i="12"/>
  <c r="F96" i="12"/>
  <c r="G96" i="12" s="1"/>
  <c r="E96" i="12"/>
  <c r="F146" i="12"/>
  <c r="G146" i="12" s="1"/>
  <c r="F18" i="10"/>
  <c r="G18" i="10" s="1"/>
  <c r="E18" i="10"/>
  <c r="E15" i="10"/>
  <c r="F15" i="10"/>
  <c r="G15" i="10" s="1"/>
  <c r="F16" i="10"/>
  <c r="G16" i="10" s="1"/>
  <c r="E16" i="10"/>
  <c r="F17" i="10"/>
  <c r="E17" i="10"/>
  <c r="C28" i="10" s="1"/>
  <c r="C27" i="10"/>
  <c r="C30" i="10" s="1"/>
  <c r="E11" i="10"/>
  <c r="F11" i="10"/>
  <c r="G11" i="10" s="1"/>
  <c r="B5" i="21" l="1"/>
  <c r="A6" i="21"/>
  <c r="B5" i="20"/>
  <c r="A6" i="20"/>
  <c r="C59" i="14"/>
  <c r="C60" i="14" s="1"/>
  <c r="C62" i="14" s="1"/>
  <c r="C63" i="14" s="1"/>
  <c r="C64" i="14" s="1"/>
  <c r="C38" i="14"/>
  <c r="C39" i="14" s="1"/>
  <c r="C41" i="14" s="1"/>
  <c r="C42" i="14" s="1"/>
  <c r="C43" i="14" s="1"/>
  <c r="C19" i="14"/>
  <c r="C20" i="14" s="1"/>
  <c r="C21" i="14" s="1"/>
  <c r="C22" i="14" s="1"/>
  <c r="C23" i="14" s="1"/>
  <c r="C72" i="14" s="1"/>
  <c r="C16" i="13"/>
  <c r="C17" i="13" s="1"/>
  <c r="C18" i="13"/>
  <c r="C24" i="10"/>
  <c r="G17" i="10"/>
  <c r="C31" i="10"/>
  <c r="A7" i="21" l="1"/>
  <c r="B6" i="21"/>
  <c r="B6" i="20"/>
  <c r="A7" i="20"/>
  <c r="C44" i="14"/>
  <c r="C73" i="14"/>
  <c r="C75" i="14" s="1"/>
  <c r="C76" i="14" s="1"/>
  <c r="C65" i="14"/>
  <c r="C74" i="14"/>
  <c r="C25" i="9"/>
  <c r="C29" i="9" s="1"/>
  <c r="C31" i="9" s="1"/>
  <c r="C26" i="9"/>
  <c r="B7" i="21" l="1"/>
  <c r="A8" i="21"/>
  <c r="B7" i="20"/>
  <c r="A8" i="20"/>
  <c r="C28" i="9"/>
  <c r="C30" i="9" s="1"/>
  <c r="C32" i="9" s="1"/>
  <c r="C27" i="9"/>
  <c r="A9" i="21" l="1"/>
  <c r="B8" i="21"/>
  <c r="B8" i="20"/>
  <c r="A9" i="20"/>
  <c r="B9" i="21" l="1"/>
  <c r="A10" i="21"/>
  <c r="B9" i="20"/>
  <c r="A10" i="20"/>
  <c r="A11" i="21" l="1"/>
  <c r="B10" i="21"/>
  <c r="B10" i="20"/>
  <c r="A11" i="20"/>
  <c r="B11" i="21" l="1"/>
  <c r="A12" i="21"/>
  <c r="B11" i="20"/>
  <c r="A12" i="20"/>
  <c r="A13" i="21" l="1"/>
  <c r="B12" i="21"/>
  <c r="B12" i="20"/>
  <c r="A13" i="20"/>
  <c r="A14" i="21" l="1"/>
  <c r="B13" i="21"/>
  <c r="A14" i="20"/>
  <c r="B13" i="20"/>
  <c r="A15" i="21" l="1"/>
  <c r="B14" i="21"/>
  <c r="B14" i="20"/>
  <c r="A15" i="20"/>
  <c r="B15" i="21" l="1"/>
  <c r="A16" i="21"/>
  <c r="A16" i="20"/>
  <c r="B15" i="20"/>
  <c r="B16" i="21" l="1"/>
  <c r="A17" i="21"/>
  <c r="B16" i="20"/>
  <c r="A17" i="20"/>
  <c r="A18" i="21" l="1"/>
  <c r="B17" i="21"/>
  <c r="B17" i="20"/>
  <c r="A18" i="20"/>
  <c r="A19" i="21" l="1"/>
  <c r="B18" i="21"/>
  <c r="B18" i="20"/>
  <c r="A19" i="20"/>
  <c r="B19" i="21" l="1"/>
  <c r="A20" i="21"/>
  <c r="B19" i="20"/>
  <c r="A20" i="20"/>
  <c r="A21" i="21" l="1"/>
  <c r="B20" i="21"/>
  <c r="A21" i="20"/>
  <c r="B20" i="20"/>
  <c r="B21" i="21" l="1"/>
  <c r="A22" i="21"/>
  <c r="B21" i="20"/>
  <c r="A22" i="20"/>
  <c r="A23" i="21" l="1"/>
  <c r="B22" i="21"/>
  <c r="B22" i="20"/>
  <c r="A23" i="20"/>
  <c r="A24" i="21" l="1"/>
  <c r="B23" i="21"/>
  <c r="A24" i="20"/>
  <c r="B23" i="20"/>
  <c r="A25" i="21" l="1"/>
  <c r="B24" i="21"/>
  <c r="A25" i="20"/>
  <c r="B24" i="20"/>
  <c r="A26" i="21" l="1"/>
  <c r="B25" i="21"/>
  <c r="A26" i="20"/>
  <c r="B25" i="20"/>
  <c r="B26" i="21" l="1"/>
  <c r="A27" i="21"/>
  <c r="B26" i="20"/>
  <c r="A27" i="20"/>
  <c r="A28" i="21" l="1"/>
  <c r="B27" i="21"/>
  <c r="B27" i="20"/>
  <c r="A28" i="20"/>
  <c r="A29" i="21" l="1"/>
  <c r="B28" i="21"/>
  <c r="B28" i="20"/>
  <c r="A29" i="20"/>
  <c r="B29" i="21" l="1"/>
  <c r="A30" i="21"/>
  <c r="B29" i="20"/>
  <c r="A30" i="20"/>
  <c r="B30" i="21" l="1"/>
  <c r="A31" i="21"/>
  <c r="A31" i="20"/>
  <c r="B30" i="20"/>
  <c r="B31" i="21" l="1"/>
  <c r="A32" i="21"/>
  <c r="B31" i="20"/>
  <c r="A32" i="20"/>
  <c r="B32" i="21" l="1"/>
  <c r="A33" i="21"/>
  <c r="A33" i="20"/>
  <c r="B32" i="20"/>
  <c r="B33" i="21" l="1"/>
  <c r="A34" i="21"/>
  <c r="A34" i="20"/>
  <c r="B33" i="20"/>
  <c r="B34" i="21" l="1"/>
  <c r="A35" i="21"/>
  <c r="B34" i="20"/>
  <c r="A35" i="20"/>
  <c r="B35" i="21" l="1"/>
  <c r="A36" i="21"/>
  <c r="A36" i="20"/>
  <c r="B35" i="20"/>
  <c r="B36" i="21" l="1"/>
  <c r="A37" i="21"/>
  <c r="B36" i="20"/>
  <c r="A37" i="20"/>
  <c r="B37" i="21" l="1"/>
  <c r="A38" i="21"/>
  <c r="A38" i="20"/>
  <c r="B37" i="20"/>
  <c r="A39" i="21" l="1"/>
  <c r="B38" i="21"/>
  <c r="B38" i="20"/>
  <c r="A39" i="20"/>
  <c r="B39" i="21" l="1"/>
  <c r="A40" i="21"/>
  <c r="B39" i="20"/>
  <c r="A40" i="20"/>
  <c r="B40" i="21" l="1"/>
  <c r="A41" i="21"/>
  <c r="B40" i="20"/>
  <c r="A41" i="20"/>
  <c r="B41" i="21" l="1"/>
  <c r="A42" i="21"/>
  <c r="B41" i="20"/>
  <c r="A42" i="20"/>
  <c r="B42" i="21" l="1"/>
  <c r="A43" i="21"/>
  <c r="B42" i="20"/>
  <c r="A43" i="20"/>
  <c r="B43" i="21" l="1"/>
  <c r="A44" i="21"/>
  <c r="B43" i="20"/>
  <c r="A44" i="20"/>
  <c r="B44" i="21" l="1"/>
  <c r="A45" i="21"/>
  <c r="A45" i="20"/>
  <c r="B44" i="20"/>
  <c r="B45" i="21" l="1"/>
  <c r="A46" i="21"/>
  <c r="A46" i="20"/>
  <c r="B45" i="20"/>
  <c r="B46" i="21" l="1"/>
  <c r="A47" i="21"/>
  <c r="B46" i="20"/>
  <c r="A47" i="20"/>
  <c r="B47" i="21" l="1"/>
  <c r="A48" i="21"/>
  <c r="A48" i="20"/>
  <c r="B47" i="20"/>
  <c r="B48" i="21" l="1"/>
  <c r="A49" i="21"/>
  <c r="A49" i="20"/>
  <c r="B48" i="20"/>
  <c r="B49" i="21" l="1"/>
  <c r="A50" i="21"/>
  <c r="B49" i="20"/>
  <c r="A50" i="20"/>
  <c r="B50" i="21" l="1"/>
  <c r="A51" i="21"/>
  <c r="A51" i="20"/>
  <c r="B50" i="20"/>
  <c r="B51" i="21" l="1"/>
  <c r="A52" i="21"/>
  <c r="A52" i="20"/>
  <c r="B51" i="20"/>
  <c r="B52" i="21" l="1"/>
  <c r="A53" i="21"/>
  <c r="A53" i="20"/>
  <c r="B52" i="20"/>
  <c r="B53" i="21" l="1"/>
  <c r="A54" i="21"/>
  <c r="A54" i="20"/>
  <c r="B53" i="20"/>
  <c r="B54" i="21" l="1"/>
  <c r="A55" i="21"/>
  <c r="A55" i="20"/>
  <c r="B54" i="20"/>
  <c r="B55" i="21" l="1"/>
  <c r="A56" i="21"/>
  <c r="A56" i="20"/>
  <c r="B55" i="20"/>
  <c r="B56" i="21" l="1"/>
  <c r="A57" i="21"/>
  <c r="A57" i="20"/>
  <c r="B56" i="20"/>
  <c r="B57" i="21" l="1"/>
  <c r="A58" i="21"/>
  <c r="B57" i="20"/>
  <c r="A58" i="20"/>
  <c r="B58" i="21" l="1"/>
  <c r="A59" i="21"/>
  <c r="B58" i="20"/>
  <c r="A59" i="20"/>
  <c r="B59" i="21" l="1"/>
  <c r="A60" i="21"/>
  <c r="A60" i="20"/>
  <c r="B59" i="20"/>
  <c r="B60" i="21" l="1"/>
  <c r="A61" i="21"/>
  <c r="A61" i="20"/>
  <c r="B60" i="20"/>
  <c r="B61" i="21" l="1"/>
  <c r="A62" i="21"/>
  <c r="B61" i="20"/>
  <c r="A62" i="20"/>
  <c r="B62" i="21" l="1"/>
  <c r="A63" i="21"/>
  <c r="B62" i="20"/>
  <c r="A63" i="20"/>
  <c r="B63" i="21" l="1"/>
  <c r="A64" i="21"/>
  <c r="B63" i="20"/>
  <c r="A64" i="20"/>
  <c r="B64" i="21" l="1"/>
  <c r="A65" i="21"/>
  <c r="B64" i="20"/>
  <c r="A65" i="20"/>
  <c r="B65" i="21" l="1"/>
  <c r="A66" i="21"/>
  <c r="B65" i="20"/>
  <c r="A66" i="20"/>
  <c r="B66" i="21" l="1"/>
  <c r="A67" i="21"/>
  <c r="B66" i="20"/>
  <c r="A67" i="20"/>
  <c r="B67" i="21" l="1"/>
  <c r="A68" i="21"/>
  <c r="B67" i="20"/>
  <c r="A68" i="20"/>
  <c r="B68" i="21" l="1"/>
  <c r="A69" i="21"/>
  <c r="B68" i="20"/>
  <c r="A69" i="20"/>
  <c r="B69" i="21" l="1"/>
  <c r="A70" i="21"/>
  <c r="B69" i="20"/>
  <c r="A70" i="20"/>
  <c r="B70" i="21" l="1"/>
  <c r="A71" i="21"/>
  <c r="B70" i="20"/>
  <c r="A71" i="20"/>
  <c r="B71" i="21" l="1"/>
  <c r="A72" i="21"/>
  <c r="A72" i="20"/>
  <c r="B71" i="20"/>
  <c r="B72" i="21" l="1"/>
  <c r="A73" i="21"/>
  <c r="A73" i="20"/>
  <c r="B72" i="20"/>
  <c r="B73" i="21" l="1"/>
  <c r="A74" i="21"/>
  <c r="B74" i="21" s="1"/>
  <c r="B73" i="20"/>
  <c r="A74" i="20"/>
  <c r="B74" i="20" s="1"/>
</calcChain>
</file>

<file path=xl/sharedStrings.xml><?xml version="1.0" encoding="utf-8"?>
<sst xmlns="http://schemas.openxmlformats.org/spreadsheetml/2006/main" count="1722" uniqueCount="812">
  <si>
    <t>Wf/W0</t>
  </si>
  <si>
    <t>Payload</t>
  </si>
  <si>
    <t>(L/D)max</t>
  </si>
  <si>
    <t>Endurance</t>
  </si>
  <si>
    <t>W1/W0</t>
  </si>
  <si>
    <t>W2/W1</t>
  </si>
  <si>
    <t>W5/W4</t>
  </si>
  <si>
    <t>W6/W5</t>
  </si>
  <si>
    <t>W0</t>
  </si>
  <si>
    <t>Wf</t>
  </si>
  <si>
    <t>We</t>
  </si>
  <si>
    <t>Wp</t>
  </si>
  <si>
    <t>150 kg</t>
  </si>
  <si>
    <t>Requirement</t>
  </si>
  <si>
    <t>Value</t>
  </si>
  <si>
    <t>Unit</t>
  </si>
  <si>
    <t>Notes</t>
  </si>
  <si>
    <t>kg</t>
  </si>
  <si>
    <t>Fixed payload</t>
  </si>
  <si>
    <t>Landing stall speed</t>
  </si>
  <si>
    <t>KCAS</t>
  </si>
  <si>
    <t>Landing configuration</t>
  </si>
  <si>
    <t>Clean stall speed</t>
  </si>
  <si>
    <t>Clean configuration</t>
  </si>
  <si>
    <t>Service ceiling</t>
  </si>
  <si>
    <t>ft</t>
  </si>
  <si>
    <t>Minimum</t>
  </si>
  <si>
    <t>Cruise ceiling</t>
  </si>
  <si>
    <t>Cruise speed</t>
  </si>
  <si>
    <t>RFP cruise speed</t>
  </si>
  <si>
    <t>h</t>
  </si>
  <si>
    <t>At cruise altitude</t>
  </si>
  <si>
    <t>Operation radius</t>
  </si>
  <si>
    <t>km</t>
  </si>
  <si>
    <t>One-way radius</t>
  </si>
  <si>
    <t>Total mission cruise range</t>
  </si>
  <si>
    <t>Outbound + inbound</t>
  </si>
  <si>
    <t>Max ROC at sea level</t>
  </si>
  <si>
    <t>fpm</t>
  </si>
  <si>
    <t>Takeoff distance</t>
  </si>
  <si>
    <t>m</t>
  </si>
  <si>
    <t>Optional, ISA +30</t>
  </si>
  <si>
    <t>Quantity</t>
  </si>
  <si>
    <t>From</t>
  </si>
  <si>
    <t>To</t>
  </si>
  <si>
    <t>Factor</t>
  </si>
  <si>
    <t>Speed</t>
  </si>
  <si>
    <t>knot</t>
  </si>
  <si>
    <t>m/s</t>
  </si>
  <si>
    <t>0.514444</t>
  </si>
  <si>
    <t>multiply knot by this</t>
  </si>
  <si>
    <t>ft/s</t>
  </si>
  <si>
    <t>Distance</t>
  </si>
  <si>
    <t>multiply km by this</t>
  </si>
  <si>
    <t>nautical mile</t>
  </si>
  <si>
    <t>0.539957</t>
  </si>
  <si>
    <t>multiply nm by this</t>
  </si>
  <si>
    <t>Altitude</t>
  </si>
  <si>
    <t>0.3048</t>
  </si>
  <si>
    <t>multiply ft by this</t>
  </si>
  <si>
    <t>multiply m by this</t>
  </si>
  <si>
    <t>ROC</t>
  </si>
  <si>
    <t>0.00508</t>
  </si>
  <si>
    <t>multiply fpm by this</t>
  </si>
  <si>
    <t>Weight force</t>
  </si>
  <si>
    <t>N</t>
  </si>
  <si>
    <t>mass to weight force</t>
  </si>
  <si>
    <t>Power</t>
  </si>
  <si>
    <t>hp</t>
  </si>
  <si>
    <t>W</t>
  </si>
  <si>
    <t>745.7</t>
  </si>
  <si>
    <t>horsepower to watt</t>
  </si>
  <si>
    <t>kW</t>
  </si>
  <si>
    <t>kilowatt to hp</t>
  </si>
  <si>
    <t>Parameter</t>
  </si>
  <si>
    <t>Original Value</t>
  </si>
  <si>
    <t>Original Unit</t>
  </si>
  <si>
    <t>Converted Value</t>
  </si>
  <si>
    <t>Converted Unit</t>
  </si>
  <si>
    <t>Hesap</t>
  </si>
  <si>
    <t>İrtifa</t>
  </si>
  <si>
    <t>Stall speed</t>
  </si>
  <si>
    <t>Sea level</t>
  </si>
  <si>
    <t>Takeoff</t>
  </si>
  <si>
    <t>Sea level, ISA +30</t>
  </si>
  <si>
    <t>Cruise / endurance / radius</t>
  </si>
  <si>
    <t>18,000 ft</t>
  </si>
  <si>
    <t>24,000 ft</t>
  </si>
  <si>
    <t>A</t>
  </si>
  <si>
    <t>B</t>
  </si>
  <si>
    <t>C</t>
  </si>
  <si>
    <t>Constant</t>
  </si>
  <si>
    <t>Sea level temperature, T0</t>
  </si>
  <si>
    <t>K</t>
  </si>
  <si>
    <t>Sea level pressure, P0</t>
  </si>
  <si>
    <t>Pa</t>
  </si>
  <si>
    <t>Sea level density, rho0</t>
  </si>
  <si>
    <t>kg/m³</t>
  </si>
  <si>
    <t>Temperature lapse rate, a</t>
  </si>
  <si>
    <t>K/m</t>
  </si>
  <si>
    <t>Gas constant, R</t>
  </si>
  <si>
    <t>J/kgK</t>
  </si>
  <si>
    <t>Gravity, g</t>
  </si>
  <si>
    <t>m/s²</t>
  </si>
  <si>
    <t>Altitude case</t>
  </si>
  <si>
    <t>h_m</t>
  </si>
  <si>
    <t>T</t>
  </si>
  <si>
    <t>P</t>
  </si>
  <si>
    <t>rho</t>
  </si>
  <si>
    <t>sigma</t>
  </si>
  <si>
    <t>Sea Level</t>
  </si>
  <si>
    <t>Cruise Ceiling</t>
  </si>
  <si>
    <t>Service Ceiling</t>
  </si>
  <si>
    <t>Aircraft</t>
  </si>
  <si>
    <t>Manufacturer</t>
  </si>
  <si>
    <t>Country</t>
  </si>
  <si>
    <t>UAV Class</t>
  </si>
  <si>
    <t>E</t>
  </si>
  <si>
    <t>Primary Mission</t>
  </si>
  <si>
    <t>Engine Type</t>
  </si>
  <si>
    <t>Engine Model</t>
  </si>
  <si>
    <t>Engine Power hp</t>
  </si>
  <si>
    <t>Propeller Type</t>
  </si>
  <si>
    <t>Wingspan m</t>
  </si>
  <si>
    <t>Wing Area m2</t>
  </si>
  <si>
    <t>Aspect Ratio</t>
  </si>
  <si>
    <t>Fuselage Length m</t>
  </si>
  <si>
    <t>Height m</t>
  </si>
  <si>
    <t>Horizontal Tail Area m2</t>
  </si>
  <si>
    <t>Vertical Tail Area m2</t>
  </si>
  <si>
    <t>MTOW kg</t>
  </si>
  <si>
    <t>R</t>
  </si>
  <si>
    <t>Empty Weight kg</t>
  </si>
  <si>
    <t>S</t>
  </si>
  <si>
    <t>Fuel Weight kg</t>
  </si>
  <si>
    <t>Payload kg</t>
  </si>
  <si>
    <t>Useful Load kg</t>
  </si>
  <si>
    <t>Max Speed kt</t>
  </si>
  <si>
    <t>Cruise Speed kt</t>
  </si>
  <si>
    <t>ROC SL fpm</t>
  </si>
  <si>
    <t>Service Ceiling ft</t>
  </si>
  <si>
    <t>Cruise Ceiling ft</t>
  </si>
  <si>
    <t>Endurance h</t>
  </si>
  <si>
    <t>Operational Radius km</t>
  </si>
  <si>
    <t>Total Range km</t>
  </si>
  <si>
    <t>Stall Landing KCAS</t>
  </si>
  <si>
    <t>Stall Clean KCAS</t>
  </si>
  <si>
    <t>Takeoff Distance m</t>
  </si>
  <si>
    <t>Source 1</t>
  </si>
  <si>
    <t>Source 2</t>
  </si>
  <si>
    <t>Source 3</t>
  </si>
  <si>
    <t>Confidence</t>
  </si>
  <si>
    <t>Bayraktar TB2</t>
  </si>
  <si>
    <t>TUSAŞ ANKA-S</t>
  </si>
  <si>
    <t>IAI Heron</t>
  </si>
  <si>
    <t>MQ-1 Predator</t>
  </si>
  <si>
    <t>MQ-9 Reaper</t>
  </si>
  <si>
    <t>Baykar Defence</t>
  </si>
  <si>
    <t>Türkiye</t>
  </si>
  <si>
    <t>MALE / Tactical UAV</t>
  </si>
  <si>
    <t>Armed reconnaissance</t>
  </si>
  <si>
    <t>Piston Engine</t>
  </si>
  <si>
    <t>Not specified in draft</t>
  </si>
  <si>
    <t>Variable Pitch</t>
  </si>
  <si>
    <t>40-45</t>
  </si>
  <si>
    <t>50-55</t>
  </si>
  <si>
    <t>Mak_473 draft report</t>
  </si>
  <si>
    <t>Needs primary source</t>
  </si>
  <si>
    <t>Needs cross-check</t>
  </si>
  <si>
    <t>Low</t>
  </si>
  <si>
    <t>Weight breakdown inconsistent: We + Wf + Wp exceeds MTOW</t>
  </si>
  <si>
    <t>Turkish Aerospace Industries</t>
  </si>
  <si>
    <t>MALE UAV</t>
  </si>
  <si>
    <t>Medium-altitude reconnaissance</t>
  </si>
  <si>
    <t>Turboprop</t>
  </si>
  <si>
    <t>15.75</t>
  </si>
  <si>
    <t>19.44</t>
  </si>
  <si>
    <t>500-600</t>
  </si>
  <si>
    <t>Payload and useful load separated later; 350+ payload but 800 useful load in draft</t>
  </si>
  <si>
    <t>Israel Aerospace Industries</t>
  </si>
  <si>
    <t>Israel</t>
  </si>
  <si>
    <t>Strategic intelligence and surveillance</t>
  </si>
  <si>
    <t>22.13</t>
  </si>
  <si>
    <t>25000-30000</t>
  </si>
  <si>
    <t>350-450</t>
  </si>
  <si>
    <t>Operational range written as &gt;1000 km; radius/range needs clarification</t>
  </si>
  <si>
    <t>General Atomics</t>
  </si>
  <si>
    <t>USA</t>
  </si>
  <si>
    <t>Reconnaissance and surveillance</t>
  </si>
  <si>
    <t>15000-20000</t>
  </si>
  <si>
    <t>Range/radius definition needs clarification</t>
  </si>
  <si>
    <t>Persistent strike and reconnaissance</t>
  </si>
  <si>
    <t>High-power reference; useful load and payload must be separated</t>
  </si>
  <si>
    <t>Weight Sum Check kg</t>
  </si>
  <si>
    <t>Weight Error kg</t>
  </si>
  <si>
    <t>Weight Error %</t>
  </si>
  <si>
    <t>Weight Status</t>
  </si>
  <si>
    <t>Other / Missing Weight kg</t>
  </si>
  <si>
    <t>Weight breakdown closes; still verify payload vs useful load definition.</t>
  </si>
  <si>
    <t>Fuel + payload + empty exceeds MTOW; range/payload/fuel definition needs correction.</t>
  </si>
  <si>
    <t>Weight breakdown closes within rounding error.</t>
  </si>
  <si>
    <t>MTOW exceeds empty + fuel + payload by 430 kg; likely other useful load or internal stores not listed.</t>
  </si>
  <si>
    <t>Fuel weight likely not compatible with MTOW and payload simultaneously; source correction required.</t>
  </si>
  <si>
    <r>
      <t xml:space="preserve">Weight Comment          </t>
    </r>
    <r>
      <rPr>
        <b/>
        <sz val="11"/>
        <color theme="1"/>
        <rFont val="Aptos Narrow"/>
        <family val="2"/>
        <scheme val="minor"/>
      </rPr>
      <t>Fuel/payload/MTOW inconsistent; needs source correction.</t>
    </r>
  </si>
  <si>
    <t>Final Use Status</t>
  </si>
  <si>
    <t>Correction Priority</t>
  </si>
  <si>
    <t>Next Data Action</t>
  </si>
  <si>
    <t>Do not use fuel-weight value before correction; MTOW, empty weight, fuel and payload are inconsistent.</t>
  </si>
  <si>
    <t>Can be used provisionally; verify whether 800 kg is useful load and 350+ kg is payload.</t>
  </si>
  <si>
    <t>Do not use weight breakdown before correction; fuel, payload and empty weight exceed MTOW.</t>
  </si>
  <si>
    <t>Can be used provisionally; weight breakdown closes within rounding error.</t>
  </si>
  <si>
    <t>Can be used for performance trend; weight breakdown needs explanation for missing other useful load.</t>
  </si>
  <si>
    <t>Category</t>
  </si>
  <si>
    <t>Symbol</t>
  </si>
  <si>
    <t>Use in Calculation</t>
  </si>
  <si>
    <t>Source / Reason</t>
  </si>
  <si>
    <t>Aerodynamics</t>
  </si>
  <si>
    <t>AR</t>
  </si>
  <si>
    <t>-</t>
  </si>
  <si>
    <t>L/D and wing geometry</t>
  </si>
  <si>
    <t>Selected from MALE UAV competitor trend and high endurance requirement</t>
  </si>
  <si>
    <t>Medium</t>
  </si>
  <si>
    <t>Can be updated after final geometry</t>
  </si>
  <si>
    <t>Oswald Efficiency Factor</t>
  </si>
  <si>
    <t>e</t>
  </si>
  <si>
    <t>Induced drag factor K</t>
  </si>
  <si>
    <t>Typical conceptual design assumption</t>
  </si>
  <si>
    <t>Used in K=1/(pi*e*AR)</t>
  </si>
  <si>
    <t>Zero-lift Drag Coefficient</t>
  </si>
  <si>
    <t>CD0</t>
  </si>
  <si>
    <t>L/D and drag polar</t>
  </si>
  <si>
    <t>Clean high aspect ratio UAV assumption</t>
  </si>
  <si>
    <t>Needs sensitivity check</t>
  </si>
  <si>
    <t>Composite Empty Weight Correction</t>
  </si>
  <si>
    <t>Composite factor</t>
  </si>
  <si>
    <t>Empty weight ratio correction</t>
  </si>
  <si>
    <t>Initial weight estimation slide says composite aircraft may use 0.95 factor</t>
  </si>
  <si>
    <t>Use only if assuming composite structure</t>
  </si>
  <si>
    <t>Propulsion</t>
  </si>
  <si>
    <t>Propeller Efficiency - Cruise</t>
  </si>
  <si>
    <t>eta_p_cruise</t>
  </si>
  <si>
    <t>Range and cruise power</t>
  </si>
  <si>
    <t>Typical propeller-driven conceptual assumption</t>
  </si>
  <si>
    <t>Can be 0.75-0.85 in sensitivity</t>
  </si>
  <si>
    <t>Propeller Efficiency - Climb</t>
  </si>
  <si>
    <t>eta_p_climb</t>
  </si>
  <si>
    <t>ROC and ceiling power</t>
  </si>
  <si>
    <t>Propeller efficiency lower during climb</t>
  </si>
  <si>
    <t>Used in constraint analysis</t>
  </si>
  <si>
    <t>SFC Cruise</t>
  </si>
  <si>
    <t>cbhp_cruise</t>
  </si>
  <si>
    <t>lb/hp/hr</t>
  </si>
  <si>
    <t>Range sizing</t>
  </si>
  <si>
    <t>Initial estimate for piston/prop UAV cruise</t>
  </si>
  <si>
    <t>Will be converted into C</t>
  </si>
  <si>
    <t>SFC Loiter</t>
  </si>
  <si>
    <t>cbhp_loiter</t>
  </si>
  <si>
    <t>Endurance sizing</t>
  </si>
  <si>
    <t>Initial estimate for endurance/loiter</t>
  </si>
  <si>
    <t>Lift</t>
  </si>
  <si>
    <t>Clean Maximum Lift Coefficient</t>
  </si>
  <si>
    <t>CLmax_clean</t>
  </si>
  <si>
    <t>Initial clean wing assumption</t>
  </si>
  <si>
    <t>Can vary 1.2-1.6</t>
  </si>
  <si>
    <t>Landing Maximum Lift Coefficient</t>
  </si>
  <si>
    <t>CLmax_landing</t>
  </si>
  <si>
    <t>Assuming flap/high-lift configuration</t>
  </si>
  <si>
    <t>Can vary 1.8-2.2</t>
  </si>
  <si>
    <t>Mission</t>
  </si>
  <si>
    <t>Warm-up and Takeoff Fraction</t>
  </si>
  <si>
    <t>W_takeoff_fraction</t>
  </si>
  <si>
    <t>Mission fuel fraction</t>
  </si>
  <si>
    <t>Typical conceptual mission fraction</t>
  </si>
  <si>
    <t>Range 0.97-0.99</t>
  </si>
  <si>
    <t>Climb Fraction</t>
  </si>
  <si>
    <t>W_climb_fraction</t>
  </si>
  <si>
    <t>Can be updated using Mach-based climb formula</t>
  </si>
  <si>
    <t>Descent Fraction</t>
  </si>
  <si>
    <t>W_descent_fraction</t>
  </si>
  <si>
    <t>Range 0.99-0.995</t>
  </si>
  <si>
    <t>Landing and Taxi Back Fraction</t>
  </si>
  <si>
    <t>W_landing_fraction</t>
  </si>
  <si>
    <t>Range 0.992-0.997</t>
  </si>
  <si>
    <t>Trapped Fuel Factor</t>
  </si>
  <si>
    <t>trapped_fuel_factor</t>
  </si>
  <si>
    <t>Total fuel fraction</t>
  </si>
  <si>
    <t>5 percent trapped/unusable fuel allowance</t>
  </si>
  <si>
    <t>Used as Wf/W0 = 1.05*(1-Wfinal/W0)</t>
  </si>
  <si>
    <t>Weight</t>
  </si>
  <si>
    <t>Payload Weight</t>
  </si>
  <si>
    <t>Gross weight estimation</t>
  </si>
  <si>
    <t>RFP fixed payload</t>
  </si>
  <si>
    <t>High</t>
  </si>
  <si>
    <t>RFP value</t>
  </si>
  <si>
    <t>Crew Weight</t>
  </si>
  <si>
    <t>Wc</t>
  </si>
  <si>
    <t>UAV has no onboard crew</t>
  </si>
  <si>
    <t>Ground operator is not onboard crew</t>
  </si>
  <si>
    <t>From assumptions</t>
  </si>
  <si>
    <t>Oswald Efficiency</t>
  </si>
  <si>
    <t>Induced Drag Factor</t>
  </si>
  <si>
    <t>K = 1/(pi*e*AR)</t>
  </si>
  <si>
    <t>Maximum Lift-to-Drag Ratio</t>
  </si>
  <si>
    <t>LDmax</t>
  </si>
  <si>
    <t>LDmax = 1/(2*sqrt(CD0*K))</t>
  </si>
  <si>
    <t>Range Lift-to-Drag Ratio</t>
  </si>
  <si>
    <t>LD_range</t>
  </si>
  <si>
    <t>Use LDmax for range sizing</t>
  </si>
  <si>
    <t>Endurance Lift-to-Drag Ratio</t>
  </si>
  <si>
    <t>LD_endurance</t>
  </si>
  <si>
    <t>Use 0.866*LDmax for prop endurance</t>
  </si>
  <si>
    <t>Sea Level Density</t>
  </si>
  <si>
    <t>rho0</t>
  </si>
  <si>
    <t>kg/m3</t>
  </si>
  <si>
    <t>From atmosphere sheet</t>
  </si>
  <si>
    <t>Cruise Density</t>
  </si>
  <si>
    <t>rho_cruise</t>
  </si>
  <si>
    <t>From 18000 ft atmosphere result</t>
  </si>
  <si>
    <t>Cruise Density Ratio</t>
  </si>
  <si>
    <t>sigma_cruise</t>
  </si>
  <si>
    <t>rho_cruise/rho0</t>
  </si>
  <si>
    <t>RFP Cruise Speed CAS</t>
  </si>
  <si>
    <t>VC_CAS</t>
  </si>
  <si>
    <t>kt</t>
  </si>
  <si>
    <t>Assume RFP cruise as Carson speed in CAS</t>
  </si>
  <si>
    <t>kt to m/s</t>
  </si>
  <si>
    <t>RFP Cruise Speed TAS</t>
  </si>
  <si>
    <t>VC_TAS</t>
  </si>
  <si>
    <t>CAS/sqrt(sigma)</t>
  </si>
  <si>
    <t>TAS in knots</t>
  </si>
  <si>
    <t>Best Range Speed CAS</t>
  </si>
  <si>
    <t>VR_CAS</t>
  </si>
  <si>
    <t>VC/(3^(1/4))</t>
  </si>
  <si>
    <t>Best Endurance Speed CAS</t>
  </si>
  <si>
    <t>VE_CAS</t>
  </si>
  <si>
    <t>VR/(3^(1/4))</t>
  </si>
  <si>
    <t>Best Range Speed TAS</t>
  </si>
  <si>
    <t>VR_TAS</t>
  </si>
  <si>
    <t>Convert VR_CAS to TAS</t>
  </si>
  <si>
    <t>Best Endurance Speed TAS</t>
  </si>
  <si>
    <t>VE_TAS</t>
  </si>
  <si>
    <t>Convert VE_CAS to TAS</t>
  </si>
  <si>
    <t>Propeller efficiency</t>
  </si>
  <si>
    <t>eta_p</t>
  </si>
  <si>
    <t>Used for range and endurance</t>
  </si>
  <si>
    <t>Gravity</t>
  </si>
  <si>
    <t>g</t>
  </si>
  <si>
    <t>m/s2</t>
  </si>
  <si>
    <t>Standard gravity</t>
  </si>
  <si>
    <t>Cruise SFC</t>
  </si>
  <si>
    <t>Used for range sizing</t>
  </si>
  <si>
    <t>Loiter SFC</t>
  </si>
  <si>
    <t>Used for endurance sizing</t>
  </si>
  <si>
    <t>SFC conversion factor</t>
  </si>
  <si>
    <t>conv_SFC</t>
  </si>
  <si>
    <t>kg/W/s</t>
  </si>
  <si>
    <t>Converts lb/hp/hr to kg/W/s</t>
  </si>
  <si>
    <t>Cruise SFC SI</t>
  </si>
  <si>
    <t>c_cruise_SI</t>
  </si>
  <si>
    <t>Cruise SFC in SI</t>
  </si>
  <si>
    <t>Loiter SFC SI</t>
  </si>
  <si>
    <t>c_loiter_SI</t>
  </si>
  <si>
    <t>Loiter SFC in SI</t>
  </si>
  <si>
    <t>Range L/D</t>
  </si>
  <si>
    <t>Range uses LDmax</t>
  </si>
  <si>
    <t>Endurance L/D</t>
  </si>
  <si>
    <t>Endurance uses 0.866 LDmax</t>
  </si>
  <si>
    <t>Cruise TAS</t>
  </si>
  <si>
    <t>V_cruise_TAS</t>
  </si>
  <si>
    <t>70 KCAS converted to TAS at 18000 ft</t>
  </si>
  <si>
    <t>Best range TAS</t>
  </si>
  <si>
    <t>V_range_TAS</t>
  </si>
  <si>
    <t>Best range speed</t>
  </si>
  <si>
    <t>Endurance TAS selected</t>
  </si>
  <si>
    <t>V_endurance_TAS</t>
  </si>
  <si>
    <t>Conservative baseline: endurance at RFP cruise speed</t>
  </si>
  <si>
    <t>Best endurance TAS theoretical</t>
  </si>
  <si>
    <t>V_endurance_best</t>
  </si>
  <si>
    <t>Endurance time</t>
  </si>
  <si>
    <t>RFP endurance requirement</t>
  </si>
  <si>
    <t>s</t>
  </si>
  <si>
    <t>Converted endurance time</t>
  </si>
  <si>
    <t>2000 km outbound + 2000 km inbound</t>
  </si>
  <si>
    <t>Takeoff fraction</t>
  </si>
  <si>
    <t>Warm-up and takeoff</t>
  </si>
  <si>
    <t>Climb fraction</t>
  </si>
  <si>
    <t>Climb to cruise altitude</t>
  </si>
  <si>
    <t>Descent fraction</t>
  </si>
  <si>
    <t>Descent</t>
  </si>
  <si>
    <t>Landing fraction</t>
  </si>
  <si>
    <t>Landing and taxi back</t>
  </si>
  <si>
    <t>Trapped fuel factor</t>
  </si>
  <si>
    <t>Endurance main weight fraction</t>
  </si>
  <si>
    <t>W_after/W_before</t>
  </si>
  <si>
    <t>mission fraction</t>
  </si>
  <si>
    <t>From Breguet endurance</t>
  </si>
  <si>
    <t>Range main weight fraction</t>
  </si>
  <si>
    <t>From Breguet range</t>
  </si>
  <si>
    <t>Range check from endurance sizing</t>
  </si>
  <si>
    <t>R_check</t>
  </si>
  <si>
    <t>Range obtained using endurance fuel fraction</t>
  </si>
  <si>
    <t>Endurance check from range sizing</t>
  </si>
  <si>
    <t>E_check</t>
  </si>
  <si>
    <t>Endurance obtained using range fuel fraction</t>
  </si>
  <si>
    <t>Total endurance mission fraction</t>
  </si>
  <si>
    <t>W_final/W0</t>
  </si>
  <si>
    <t>Takeoff*climb*endurance*descent*landing</t>
  </si>
  <si>
    <t>Total range mission fraction</t>
  </si>
  <si>
    <t>Takeoff*climb*range*descent*landing</t>
  </si>
  <si>
    <t>Fuel fraction from endurance sizing</t>
  </si>
  <si>
    <t>Wf/W0_E</t>
  </si>
  <si>
    <t>Includes trapped fuel</t>
  </si>
  <si>
    <t>Fuel fraction from range sizing</t>
  </si>
  <si>
    <t>Wf/W0_R</t>
  </si>
  <si>
    <t>Selected fuel fraction</t>
  </si>
  <si>
    <t>Wf/W0_selected</t>
  </si>
  <si>
    <t>Maximum of endurance and range fuel fractions</t>
  </si>
  <si>
    <t>Result</t>
  </si>
  <si>
    <t>Formula / Meaning</t>
  </si>
  <si>
    <t>Theoretical best endurance speed</t>
  </si>
  <si>
    <t>Payload weight</t>
  </si>
  <si>
    <t>RFP payload</t>
  </si>
  <si>
    <t>Crew weight</t>
  </si>
  <si>
    <t>From mission fractions sheet</t>
  </si>
  <si>
    <t>Raymer exponent</t>
  </si>
  <si>
    <t>Gross takeoff weight</t>
  </si>
  <si>
    <t>Fuel weight</t>
  </si>
  <si>
    <t>Empty weight</t>
  </si>
  <si>
    <t>Weight check</t>
  </si>
  <si>
    <t>W0_check</t>
  </si>
  <si>
    <t>W0 guess kg</t>
  </si>
  <si>
    <t>We/W0 historical</t>
  </si>
  <si>
    <t>We kg</t>
  </si>
  <si>
    <t>Fuel fraction</t>
  </si>
  <si>
    <t>Fuel kg</t>
  </si>
  <si>
    <t>W0 calculated kg</t>
  </si>
  <si>
    <t>Difference kg</t>
  </si>
  <si>
    <t>W0_selected</t>
  </si>
  <si>
    <t>Selected fuel weight</t>
  </si>
  <si>
    <t>Wf_selected</t>
  </si>
  <si>
    <t>Selected empty weight</t>
  </si>
  <si>
    <t>We_selected</t>
  </si>
  <si>
    <t>Selected payload</t>
  </si>
  <si>
    <t>Wp_selected</t>
  </si>
  <si>
    <t>Raymer metric coefficient</t>
  </si>
  <si>
    <t>UAV high-altitude metric coefficient</t>
  </si>
  <si>
    <t>UAV high-altitude exponent</t>
  </si>
  <si>
    <t>Variable sweep correction</t>
  </si>
  <si>
    <t>Kvs</t>
  </si>
  <si>
    <t>Fixed sweep aircraft, no variable sweep</t>
  </si>
  <si>
    <t>Selected Historical Weight Results</t>
  </si>
  <si>
    <t>Selected gross takeoff weight</t>
  </si>
  <si>
    <t>Selected empty weight ratio</t>
  </si>
  <si>
    <t>We/W0_selected</t>
  </si>
  <si>
    <t>Weight difference</t>
  </si>
  <si>
    <t>Check error</t>
  </si>
  <si>
    <t>Endurance Mission Profile</t>
  </si>
  <si>
    <t>Segment</t>
  </si>
  <si>
    <t>Fuel Fraction</t>
  </si>
  <si>
    <t>Distance / Time</t>
  </si>
  <si>
    <t>Taxi &amp; Takeoff</t>
  </si>
  <si>
    <t>W1/W0 = 0,975</t>
  </si>
  <si>
    <t>No range credit</t>
  </si>
  <si>
    <t>50 KCAS reference</t>
  </si>
  <si>
    <t>Warm-up, taxi and takeoff; empirical fraction</t>
  </si>
  <si>
    <t>Climb</t>
  </si>
  <si>
    <t>W2/W1 = 0,98</t>
  </si>
  <si>
    <t>Climb speed / ROC check later</t>
  </si>
  <si>
    <t>0–18,000 ft</t>
  </si>
  <si>
    <t>Climb distance is not credited to range</t>
  </si>
  <si>
    <t>Endurance / Loiter</t>
  </si>
  <si>
    <t>24 h</t>
  </si>
  <si>
    <t>70 KCAS reference</t>
  </si>
  <si>
    <t>Main endurance sizing segment; Breguet endurance result</t>
  </si>
  <si>
    <t>W4/W3 = 0,99</t>
  </si>
  <si>
    <t>Idle / descent</t>
  </si>
  <si>
    <t>18,000 ft to Sea Level</t>
  </si>
  <si>
    <t>Low-power descent</t>
  </si>
  <si>
    <t>Landing</t>
  </si>
  <si>
    <t>W5/W4 = 0,995</t>
  </si>
  <si>
    <t>40 KCAS reference</t>
  </si>
  <si>
    <t>Radius Mission Profile</t>
  </si>
  <si>
    <t>Climb distance is not credited to radius/range</t>
  </si>
  <si>
    <t>Cruise Out</t>
  </si>
  <si>
    <t>Range segment fraction</t>
  </si>
  <si>
    <t>2000 km</t>
  </si>
  <si>
    <t>Outbound leg to mission area</t>
  </si>
  <si>
    <t>Target / Loiter</t>
  </si>
  <si>
    <t>Operational requirement / optional</t>
  </si>
  <si>
    <t>As required</t>
  </si>
  <si>
    <t>Endurance or surveillance speed</t>
  </si>
  <si>
    <t>Mission-area surveillance segment</t>
  </si>
  <si>
    <t>Cruise Back</t>
  </si>
  <si>
    <t>Return leg to base</t>
  </si>
  <si>
    <t>W6/W5 = 0,99</t>
  </si>
  <si>
    <t>W7/W6 = 0,995</t>
  </si>
  <si>
    <t>W0 kg</t>
  </si>
  <si>
    <t>We/W0</t>
  </si>
  <si>
    <t>Wf kg</t>
  </si>
  <si>
    <t>From historical weight estimation</t>
  </si>
  <si>
    <t>Aircraft weight</t>
  </si>
  <si>
    <t>W = W0*g</t>
  </si>
  <si>
    <t>Sea level density</t>
  </si>
  <si>
    <t>Vs_landing</t>
  </si>
  <si>
    <t>40 KCAS converted to m/s</t>
  </si>
  <si>
    <t>Vs_clean</t>
  </si>
  <si>
    <t>50 KCAS converted to m/s</t>
  </si>
  <si>
    <t>CLmax landing</t>
  </si>
  <si>
    <t>CLmax_L</t>
  </si>
  <si>
    <t>CLmax clean</t>
  </si>
  <si>
    <t>Selected AR</t>
  </si>
  <si>
    <t>Wing area from landing stall</t>
  </si>
  <si>
    <t>S_landing</t>
  </si>
  <si>
    <t>m2</t>
  </si>
  <si>
    <t>S = W/(0.5*rho*Vs^2*CLmax)</t>
  </si>
  <si>
    <t>Wing area from clean stall</t>
  </si>
  <si>
    <t>S_clean</t>
  </si>
  <si>
    <t>Selected wing area</t>
  </si>
  <si>
    <t>S_selected</t>
  </si>
  <si>
    <t>Larger required wing area is selected</t>
  </si>
  <si>
    <t>Wingspan</t>
  </si>
  <si>
    <t>b</t>
  </si>
  <si>
    <t>b = sqrt(AR*S)</t>
  </si>
  <si>
    <t>Mean aerodynamic chord</t>
  </si>
  <si>
    <t>c_bar</t>
  </si>
  <si>
    <t>c = S/b</t>
  </si>
  <si>
    <t>Wing loading</t>
  </si>
  <si>
    <t>W/S</t>
  </si>
  <si>
    <t>kg/m2</t>
  </si>
  <si>
    <t>W0/S in kg/m2</t>
  </si>
  <si>
    <t>N/m2</t>
  </si>
  <si>
    <t>W/S in N/m2</t>
  </si>
  <si>
    <t>From stall sizing</t>
  </si>
  <si>
    <t>Wing loading in force units</t>
  </si>
  <si>
    <t>Oswald efficiency</t>
  </si>
  <si>
    <t>Assumed</t>
  </si>
  <si>
    <t>Zero-lift drag coefficient</t>
  </si>
  <si>
    <t>Induced drag factor</t>
  </si>
  <si>
    <t>ROC requirement</t>
  </si>
  <si>
    <t>1200 fpm converted to m/s</t>
  </si>
  <si>
    <t>Propeller efficiency climb</t>
  </si>
  <si>
    <t>Climb propeller efficiency</t>
  </si>
  <si>
    <t>Climb speed</t>
  </si>
  <si>
    <t>VY</t>
  </si>
  <si>
    <t>Initial estimate: best endurance TAS used as climb speed</t>
  </si>
  <si>
    <t>Dynamic pressure</t>
  </si>
  <si>
    <t>q</t>
  </si>
  <si>
    <t>q = 0.5*rho*V^2</t>
  </si>
  <si>
    <t>Parasite drag term</t>
  </si>
  <si>
    <t>T/W_parasite</t>
  </si>
  <si>
    <t>q*CD0/(W/S)</t>
  </si>
  <si>
    <t>Induced drag term</t>
  </si>
  <si>
    <t>T/W_induced</t>
  </si>
  <si>
    <t>K*(W/S)/q</t>
  </si>
  <si>
    <t>Climb term</t>
  </si>
  <si>
    <t>T/W_climb</t>
  </si>
  <si>
    <t>ROC/V</t>
  </si>
  <si>
    <t>Required thrust loading</t>
  </si>
  <si>
    <t>T/W_required</t>
  </si>
  <si>
    <t>ROC + parasite + induced</t>
  </si>
  <si>
    <t>Required propulsive power loading</t>
  </si>
  <si>
    <t>P/W_prop</t>
  </si>
  <si>
    <t>(P/W)=T/W*V</t>
  </si>
  <si>
    <t>Required shaft power loading</t>
  </si>
  <si>
    <t>Pshaft/W</t>
  </si>
  <si>
    <t>Divide by propeller efficiency</t>
  </si>
  <si>
    <t>Required shaft power</t>
  </si>
  <si>
    <t>Pshaft</t>
  </si>
  <si>
    <t>Power required at sea level</t>
  </si>
  <si>
    <t>Pshaft_hp</t>
  </si>
  <si>
    <t>Converted to horsepower</t>
  </si>
  <si>
    <t>Service Ceiling Check</t>
  </si>
  <si>
    <t>Service ceiling altitude</t>
  </si>
  <si>
    <t>h_service</t>
  </si>
  <si>
    <t>RFP service ceiling requirement</t>
  </si>
  <si>
    <t>Service ceiling density</t>
  </si>
  <si>
    <t>rho_service</t>
  </si>
  <si>
    <t>From atmosphere sheet at 24000 ft</t>
  </si>
  <si>
    <t>Service ceiling density ratio</t>
  </si>
  <si>
    <t>sigma_service</t>
  </si>
  <si>
    <t>rho/rho0 at 24000 ft</t>
  </si>
  <si>
    <t>Service ceiling ROC</t>
  </si>
  <si>
    <t>ROC_service</t>
  </si>
  <si>
    <t>100 fpm service ceiling definition</t>
  </si>
  <si>
    <t>Best endurance speed CAS</t>
  </si>
  <si>
    <t>VY_CAS</t>
  </si>
  <si>
    <t>Best endurance speed used as climb speed reference</t>
  </si>
  <si>
    <t>Service ceiling climb speed TAS</t>
  </si>
  <si>
    <t>VY_service</t>
  </si>
  <si>
    <t>CAS converted to TAS at 24000 ft</t>
  </si>
  <si>
    <t>q_service</t>
  </si>
  <si>
    <t>T/W_parasite_service</t>
  </si>
  <si>
    <t>T/W_induced_service</t>
  </si>
  <si>
    <t>T/W_climb_service</t>
  </si>
  <si>
    <t>T/W_service</t>
  </si>
  <si>
    <t>Total T/W at service ceiling</t>
  </si>
  <si>
    <t>Required propulsive P/W</t>
  </si>
  <si>
    <t>P/W_service_prop</t>
  </si>
  <si>
    <t>(T/W)*V</t>
  </si>
  <si>
    <t>Piston altitude correction</t>
  </si>
  <si>
    <t>lapse_service</t>
  </si>
  <si>
    <t>Piston power lapse correction</t>
  </si>
  <si>
    <t>Required SL shaft P/W</t>
  </si>
  <si>
    <t>Pshaft_SL/W_service</t>
  </si>
  <si>
    <t>Sea-level shaft power loading</t>
  </si>
  <si>
    <t>Required SL shaft power</t>
  </si>
  <si>
    <t>Pshaft_service</t>
  </si>
  <si>
    <t>Required sea-level shaft power</t>
  </si>
  <si>
    <t>Pshaft_service_hp</t>
  </si>
  <si>
    <t>Converted to hp</t>
  </si>
  <si>
    <t>Status</t>
  </si>
  <si>
    <t>Service ceiling status</t>
  </si>
  <si>
    <t>Compare with installed power from SL ROC sizing</t>
  </si>
  <si>
    <t>Cruise Ceiling Check</t>
  </si>
  <si>
    <t>Cruise ceiling altitude</t>
  </si>
  <si>
    <t>h_cruise</t>
  </si>
  <si>
    <t>RFP cruise ceiling requirement</t>
  </si>
  <si>
    <t>Cruise ceiling density</t>
  </si>
  <si>
    <t>From atmosphere sheet at 18000 ft</t>
  </si>
  <si>
    <t>Cruise ceiling density ratio</t>
  </si>
  <si>
    <t>rho/rho0 at 18000 ft</t>
  </si>
  <si>
    <t>Cruise ceiling ROC</t>
  </si>
  <si>
    <t>ROC_cruise</t>
  </si>
  <si>
    <t>300 fpm cruise ceiling definition</t>
  </si>
  <si>
    <t>Cruise ceiling climb speed TAS</t>
  </si>
  <si>
    <t>VY_cruise</t>
  </si>
  <si>
    <t>CAS converted to TAS at 18000 ft</t>
  </si>
  <si>
    <t>q_cruise</t>
  </si>
  <si>
    <t>T/W_parasite_cruise</t>
  </si>
  <si>
    <t>T/W_induced_cruise</t>
  </si>
  <si>
    <t>T/W_climb_cruise</t>
  </si>
  <si>
    <t>T/W_cruise</t>
  </si>
  <si>
    <t>Total T/W at cruise ceiling</t>
  </si>
  <si>
    <t>P/W_cruise_prop</t>
  </si>
  <si>
    <t>lapse_cruise</t>
  </si>
  <si>
    <t>Pshaft_SL/W_cruise</t>
  </si>
  <si>
    <t>Pshaft_cruise</t>
  </si>
  <si>
    <t>Pshaft_cruise_hp</t>
  </si>
  <si>
    <t>Cruise ceiling status</t>
  </si>
  <si>
    <t>Constraint Power Summary</t>
  </si>
  <si>
    <t>Condition</t>
  </si>
  <si>
    <t>Required Shaft Power hp</t>
  </si>
  <si>
    <t>Rate of Climb at Sea Level</t>
  </si>
  <si>
    <t>ROC = 1200 fpm</t>
  </si>
  <si>
    <t>PASS</t>
  </si>
  <si>
    <t>Main sizing driver</t>
  </si>
  <si>
    <t>h = 24000 ft, ROC = 100 fpm</t>
  </si>
  <si>
    <t>Service ceiling check</t>
  </si>
  <si>
    <t>h = 18000 ft, ROC = 300 fpm</t>
  </si>
  <si>
    <t>Cruise ceiling check</t>
  </si>
  <si>
    <t>Maximum Required Power</t>
  </si>
  <si>
    <t>Highest required power</t>
  </si>
  <si>
    <t>Installed Power with 15% Margin</t>
  </si>
  <si>
    <t>Recommended installed power</t>
  </si>
  <si>
    <t>Target / RFP</t>
  </si>
  <si>
    <t>Calculated / Selected</t>
  </si>
  <si>
    <t>≥150 kg</t>
  </si>
  <si>
    <t>RFP payload carried</t>
  </si>
  <si>
    <t>≤40 KCAS</t>
  </si>
  <si>
    <t>40 KCAS design limit</t>
  </si>
  <si>
    <t>≤50 KCAS</t>
  </si>
  <si>
    <t>50 KCAS design limit</t>
  </si>
  <si>
    <t>&gt;24000 ft</t>
  </si>
  <si>
    <t>24000 ft check PASS</t>
  </si>
  <si>
    <t>Required power at 24000 ft is lower than installed power</t>
  </si>
  <si>
    <t>&gt;18000 ft</t>
  </si>
  <si>
    <t>18000 ft check PASS</t>
  </si>
  <si>
    <t>Required power at 18000 ft is lower than installed power</t>
  </si>
  <si>
    <t>70 KCAS</t>
  </si>
  <si>
    <t>&gt;24 h</t>
  </si>
  <si>
    <t>24 h sizing case</t>
  </si>
  <si>
    <t>Endurance mission is the sizing driver</t>
  </si>
  <si>
    <t>&gt;2000 km</t>
  </si>
  <si>
    <t>Total cruise range used in sizing is 4000 km</t>
  </si>
  <si>
    <t>&gt;1200 fpm</t>
  </si>
  <si>
    <t>1200 fpm check PASS</t>
  </si>
  <si>
    <t>Main installed power sizing driver</t>
  </si>
  <si>
    <t>&lt;2000 m</t>
  </si>
  <si>
    <t>Takeoff field altitude</t>
  </si>
  <si>
    <t>h_TO</t>
  </si>
  <si>
    <t>Sea level takeoff</t>
  </si>
  <si>
    <t>ISA+30 temperature</t>
  </si>
  <si>
    <t>T_TO</t>
  </si>
  <si>
    <t>288.15 + 30 K</t>
  </si>
  <si>
    <t>Sea level pressure</t>
  </si>
  <si>
    <t>P0</t>
  </si>
  <si>
    <t>Assumed sea-level pressure</t>
  </si>
  <si>
    <t>Gas constant</t>
  </si>
  <si>
    <t>Air gas constant</t>
  </si>
  <si>
    <t>Takeoff density</t>
  </si>
  <si>
    <t>rho_TO</t>
  </si>
  <si>
    <t>rho = P/(R*T)</t>
  </si>
  <si>
    <t>Density ratio</t>
  </si>
  <si>
    <t>sigma_TO</t>
  </si>
  <si>
    <t>Hot-day density ratio</t>
  </si>
  <si>
    <t>Installed power</t>
  </si>
  <si>
    <t>P_installed</t>
  </si>
  <si>
    <t>Installed shaft power from constraint summary</t>
  </si>
  <si>
    <t>Takeoff prop efficiency</t>
  </si>
  <si>
    <t>eta_TO</t>
  </si>
  <si>
    <t>Average ground-roll prop efficiency</t>
  </si>
  <si>
    <t>From selected W0</t>
  </si>
  <si>
    <t>From selected wing area</t>
  </si>
  <si>
    <t>RFP clean stall speed</t>
  </si>
  <si>
    <t>Liftoff speed</t>
  </si>
  <si>
    <t>V_LOF</t>
  </si>
  <si>
    <t>VLOF = 1.1 Vs, corrected to hot-day TAS</t>
  </si>
  <si>
    <t>Average ground-roll speed</t>
  </si>
  <si>
    <t>V_avg</t>
  </si>
  <si>
    <t>Average speed during ground roll</t>
  </si>
  <si>
    <t>Average dynamic pressure</t>
  </si>
  <si>
    <t>q_avg</t>
  </si>
  <si>
    <t>q at VLOF/sqrt(2)</t>
  </si>
  <si>
    <t>Takeoff lift coefficient</t>
  </si>
  <si>
    <t>CL_TO</t>
  </si>
  <si>
    <t>Conceptual takeoff value</t>
  </si>
  <si>
    <t>Takeoff drag coefficient</t>
  </si>
  <si>
    <t>CD_TO</t>
  </si>
  <si>
    <t>Conceptual takeoff drag value</t>
  </si>
  <si>
    <t>Ground friction coefficient</t>
  </si>
  <si>
    <t>mu</t>
  </si>
  <si>
    <t>Dry runway, brakes off</t>
  </si>
  <si>
    <t>Takeoff thrust loading</t>
  </si>
  <si>
    <t>T/W_TO</t>
  </si>
  <si>
    <t>T/W = eta P/(Vavg W)</t>
  </si>
  <si>
    <t>D/W_TO</t>
  </si>
  <si>
    <t>q CD_TO/(W/S)</t>
  </si>
  <si>
    <t>Lift relief term</t>
  </si>
  <si>
    <t>L/W_TO</t>
  </si>
  <si>
    <t>q CL_TO/(W/S)</t>
  </si>
  <si>
    <t>Ground friction term</t>
  </si>
  <si>
    <t>mu_term</t>
  </si>
  <si>
    <t>mu(1-L/W)</t>
  </si>
  <si>
    <t>Acceleration term</t>
  </si>
  <si>
    <t>accel_term</t>
  </si>
  <si>
    <t>Available acceleration term</t>
  </si>
  <si>
    <t>Ground roll</t>
  </si>
  <si>
    <t>S_G</t>
  </si>
  <si>
    <t>Ground roll distance</t>
  </si>
  <si>
    <t>Rotation distance</t>
  </si>
  <si>
    <t>S_R</t>
  </si>
  <si>
    <t>3 seconds at VLOF</t>
  </si>
  <si>
    <t>Obstacle height</t>
  </si>
  <si>
    <t>h_obs</t>
  </si>
  <si>
    <t>50 ft obstacle</t>
  </si>
  <si>
    <t>Climb angle</t>
  </si>
  <si>
    <t>gamma_TO</t>
  </si>
  <si>
    <t>deg</t>
  </si>
  <si>
    <t>Conceptual airborne climb angle</t>
  </si>
  <si>
    <t>Airborne distance</t>
  </si>
  <si>
    <t>S_A</t>
  </si>
  <si>
    <t>Distance to obstacle</t>
  </si>
  <si>
    <t>Total takeoff distance</t>
  </si>
  <si>
    <t>S_TO</t>
  </si>
  <si>
    <t>Ground roll + rotation + airborne</t>
  </si>
  <si>
    <t>RFP takeoff limit</t>
  </si>
  <si>
    <t>S_TO_limit</t>
  </si>
  <si>
    <t>Optional RFP limit</t>
  </si>
  <si>
    <t>Takeoff status</t>
  </si>
  <si>
    <t>Optional takeoff check</t>
  </si>
  <si>
    <t>Final Design Summary</t>
  </si>
  <si>
    <t>Empty weight ratio</t>
  </si>
  <si>
    <t>Aspect ratio</t>
  </si>
  <si>
    <t>L/D max</t>
  </si>
  <si>
    <t>(L/D)E</t>
  </si>
  <si>
    <t>Vs_L</t>
  </si>
  <si>
    <t>Required power for ROC SL</t>
  </si>
  <si>
    <t>P_ROC</t>
  </si>
  <si>
    <t>Required power for service ceiling</t>
  </si>
  <si>
    <t>P_service</t>
  </si>
  <si>
    <t>Required power for cruise ceiling</t>
  </si>
  <si>
    <t>P_cruise</t>
  </si>
  <si>
    <t>Maximum required shaft power</t>
  </si>
  <si>
    <t>P_required</t>
  </si>
  <si>
    <t>Installed power with 15 percent margin</t>
  </si>
  <si>
    <t>Selected installed power</t>
  </si>
  <si>
    <t>P_selected</t>
  </si>
  <si>
    <t>Takeoff distance check</t>
  </si>
  <si>
    <t>Endurance requirement</t>
  </si>
  <si>
    <t>Operational radius requirement</t>
  </si>
  <si>
    <t>Total cruise range used in sizing</t>
  </si>
  <si>
    <t>m²</t>
  </si>
  <si>
    <t>kg/m²</t>
  </si>
  <si>
    <t>N/m²</t>
  </si>
  <si>
    <t>Wing area sized from landing stall requirement</t>
  </si>
  <si>
    <t>Clean stall speed also checked</t>
  </si>
  <si>
    <t>RFP cruise speed used as reference speed</t>
  </si>
  <si>
    <t>Optional RFP item checked</t>
  </si>
  <si>
    <t>220 hp</t>
  </si>
  <si>
    <t>SELECTED</t>
  </si>
  <si>
    <t>15 percent margin applied over maximum required power</t>
  </si>
  <si>
    <t>100kg</t>
  </si>
  <si>
    <t>110kg</t>
  </si>
  <si>
    <t>120kg</t>
  </si>
  <si>
    <t>140kg</t>
  </si>
  <si>
    <t>130kg</t>
  </si>
  <si>
    <t>150kg</t>
  </si>
  <si>
    <t>160kg</t>
  </si>
  <si>
    <t>170kg</t>
  </si>
  <si>
    <t>180kg</t>
  </si>
  <si>
    <t>190kg</t>
  </si>
  <si>
    <t>200kg</t>
  </si>
  <si>
    <t>W/S (N/m^2)</t>
  </si>
  <si>
    <t>SL RoC(W/N)</t>
  </si>
  <si>
    <t>Serivce Celling</t>
  </si>
  <si>
    <t>18k Cruise</t>
  </si>
  <si>
    <t>Stall limit</t>
  </si>
  <si>
    <t>K = 0.01989</t>
  </si>
  <si>
    <t>C_{D0} = 0.025</t>
  </si>
  <si>
    <t>$V = 27.54$</t>
  </si>
  <si>
    <t>Optimum Point = 518.7 , 9.77</t>
  </si>
  <si>
    <t>Stall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</si>
</sst>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sz val="18"/>
      <color theme="1"/>
      <name val="Aptos Narrow"/>
      <family val="2"/>
      <charset val="162"/>
      <scheme val="minor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3" fontId="0" fillId="3" borderId="0" xfId="0" applyNumberForma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4" fontId="0" fillId="3" borderId="0" xfId="0" applyNumberForma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right" vertical="center" wrapText="1"/>
    </xf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vertical="center" wrapText="1"/>
    </xf>
    <xf numFmtId="16" fontId="0" fillId="7" borderId="0" xfId="0" applyNumberFormat="1" applyFill="1"/>
    <xf numFmtId="17" fontId="0" fillId="7" borderId="0" xfId="0" applyNumberFormat="1" applyFill="1"/>
    <xf numFmtId="3" fontId="0" fillId="7" borderId="0" xfId="0" applyNumberFormat="1" applyFill="1"/>
    <xf numFmtId="0" fontId="0" fillId="3" borderId="0" xfId="0" applyFill="1"/>
    <xf numFmtId="0" fontId="0" fillId="8" borderId="0" xfId="0" applyFill="1"/>
    <xf numFmtId="0" fontId="1" fillId="0" borderId="0" xfId="0" applyFont="1"/>
    <xf numFmtId="0" fontId="1" fillId="3" borderId="0" xfId="0" applyFont="1" applyFill="1"/>
    <xf numFmtId="2" fontId="0" fillId="3" borderId="0" xfId="0" applyNumberFormat="1" applyFill="1"/>
    <xf numFmtId="0" fontId="1" fillId="4" borderId="0" xfId="0" applyFont="1" applyFill="1"/>
    <xf numFmtId="164" fontId="0" fillId="4" borderId="0" xfId="0" applyNumberFormat="1" applyFill="1"/>
    <xf numFmtId="0" fontId="3" fillId="4" borderId="0" xfId="0" applyFont="1" applyFill="1" applyAlignment="1">
      <alignment vertical="center"/>
    </xf>
    <xf numFmtId="0" fontId="4" fillId="0" borderId="0" xfId="0" applyFont="1"/>
    <xf numFmtId="0" fontId="4" fillId="3" borderId="0" xfId="0" applyFont="1" applyFill="1"/>
    <xf numFmtId="0" fontId="0" fillId="9" borderId="0" xfId="0" applyFill="1"/>
    <xf numFmtId="165" fontId="0" fillId="3" borderId="0" xfId="0" applyNumberFormat="1" applyFill="1" applyAlignment="1">
      <alignment horizontal="right" vertical="center" wrapText="1"/>
    </xf>
    <xf numFmtId="0" fontId="0" fillId="10" borderId="0" xfId="0" applyFill="1"/>
    <xf numFmtId="0" fontId="0" fillId="12" borderId="0" xfId="0" applyFill="1"/>
    <xf numFmtId="164" fontId="0" fillId="12" borderId="0" xfId="0" applyNumberFormat="1" applyFill="1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0" fillId="5" borderId="1" xfId="0" applyFill="1" applyBorder="1"/>
    <xf numFmtId="0" fontId="0" fillId="10" borderId="1" xfId="0" applyFill="1" applyBorder="1"/>
    <xf numFmtId="164" fontId="0" fillId="10" borderId="1" xfId="0" applyNumberFormat="1" applyFill="1" applyBorder="1"/>
    <xf numFmtId="0" fontId="0" fillId="11" borderId="1" xfId="0" applyFill="1" applyBorder="1"/>
    <xf numFmtId="0" fontId="0" fillId="10" borderId="2" xfId="0" applyFill="1" applyBorder="1"/>
    <xf numFmtId="164" fontId="0" fillId="10" borderId="2" xfId="0" applyNumberFormat="1" applyFill="1" applyBorder="1"/>
    <xf numFmtId="0" fontId="0" fillId="11" borderId="3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Payload Capacity Trade Study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'10_Payload_Trade'!$B$1</c:f>
              <c:strCache>
                <c:ptCount val="1"/>
                <c:pt idx="0">
                  <c:v>W0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'10_Payload_Trade'!$A$2:$A$12</c:f>
              <c:strCache>
                <c:ptCount val="11"/>
                <c:pt idx="0">
                  <c:v>100kg</c:v>
                </c:pt>
                <c:pt idx="1">
                  <c:v>110kg</c:v>
                </c:pt>
                <c:pt idx="2">
                  <c:v>120kg</c:v>
                </c:pt>
                <c:pt idx="3">
                  <c:v>130kg</c:v>
                </c:pt>
                <c:pt idx="4">
                  <c:v>140kg</c:v>
                </c:pt>
                <c:pt idx="5">
                  <c:v>150kg</c:v>
                </c:pt>
                <c:pt idx="6">
                  <c:v>160kg</c:v>
                </c:pt>
                <c:pt idx="7">
                  <c:v>170kg</c:v>
                </c:pt>
                <c:pt idx="8">
                  <c:v>180kg</c:v>
                </c:pt>
                <c:pt idx="9">
                  <c:v>190kg</c:v>
                </c:pt>
                <c:pt idx="10">
                  <c:v>200kg</c:v>
                </c:pt>
              </c:strCache>
            </c:strRef>
          </c:cat>
          <c:val>
            <c:numRef>
              <c:f>'10_Payload_Trade'!$B$2:$B$12</c:f>
              <c:numCache>
                <c:formatCode>General</c:formatCode>
                <c:ptCount val="11"/>
                <c:pt idx="0">
                  <c:v>1245</c:v>
                </c:pt>
                <c:pt idx="1">
                  <c:v>1293</c:v>
                </c:pt>
                <c:pt idx="2">
                  <c:v>1341</c:v>
                </c:pt>
                <c:pt idx="3">
                  <c:v>1389</c:v>
                </c:pt>
                <c:pt idx="4">
                  <c:v>1436</c:v>
                </c:pt>
                <c:pt idx="5">
                  <c:v>1483</c:v>
                </c:pt>
                <c:pt idx="6">
                  <c:v>1528</c:v>
                </c:pt>
                <c:pt idx="7">
                  <c:v>1574</c:v>
                </c:pt>
                <c:pt idx="8">
                  <c:v>1618</c:v>
                </c:pt>
                <c:pt idx="9">
                  <c:v>1663</c:v>
                </c:pt>
                <c:pt idx="10">
                  <c:v>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3-4CD8-B3ED-8254B8B726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47741263"/>
        <c:axId val="342583279"/>
      </c:lineChart>
      <c:catAx>
        <c:axId val="447741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baseline="0"/>
                  <a:t>Payload Weight [kg]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2583279"/>
        <c:crosses val="autoZero"/>
        <c:auto val="1"/>
        <c:lblAlgn val="ctr"/>
        <c:lblOffset val="100"/>
        <c:noMultiLvlLbl val="0"/>
      </c:catAx>
      <c:valAx>
        <c:axId val="3425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baseline="0"/>
                  <a:t>Gross Takeoff Weight W0 [kg]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4774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Raw Constraint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Constrait'!$B$1</c:f>
              <c:strCache>
                <c:ptCount val="1"/>
                <c:pt idx="0">
                  <c:v>SL RoC(W/N)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Constrait'!$A$2:$A$74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'RAW Constrait'!$B$2:$B$74</c:f>
              <c:numCache>
                <c:formatCode>General</c:formatCode>
                <c:ptCount val="73"/>
                <c:pt idx="0">
                  <c:v>12.550848984660082</c:v>
                </c:pt>
                <c:pt idx="1">
                  <c:v>12.178778586762453</c:v>
                </c:pt>
                <c:pt idx="2">
                  <c:v>11.871339561592098</c:v>
                </c:pt>
                <c:pt idx="3">
                  <c:v>11.613616976981184</c:v>
                </c:pt>
                <c:pt idx="4">
                  <c:v>11.394957309952686</c:v>
                </c:pt>
                <c:pt idx="5">
                  <c:v>11.207547976990123</c:v>
                </c:pt>
                <c:pt idx="6">
                  <c:v>11.04552954045613</c:v>
                </c:pt>
                <c:pt idx="7">
                  <c:v>10.904421253922139</c:v>
                </c:pt>
                <c:pt idx="8">
                  <c:v>10.780738092388148</c:v>
                </c:pt>
                <c:pt idx="9">
                  <c:v>10.671728720327838</c:v>
                </c:pt>
                <c:pt idx="10">
                  <c:v>10.575192069320163</c:v>
                </c:pt>
                <c:pt idx="11">
                  <c:v>10.489346322071885</c:v>
                </c:pt>
                <c:pt idx="12">
                  <c:v>10.412733628070361</c:v>
                </c:pt>
                <c:pt idx="13">
                  <c:v>10.344149676022536</c:v>
                </c:pt>
                <c:pt idx="14">
                  <c:v>10.282590873184196</c:v>
                </c:pt>
                <c:pt idx="15">
                  <c:v>10.227214201650204</c:v>
                </c:pt>
                <c:pt idx="16">
                  <c:v>10.17730633857775</c:v>
                </c:pt>
                <c:pt idx="17">
                  <c:v>10.132259638582219</c:v>
                </c:pt>
                <c:pt idx="18">
                  <c:v>10.091553262762513</c:v>
                </c:pt>
                <c:pt idx="19">
                  <c:v>10.05473821206596</c:v>
                </c:pt>
                <c:pt idx="20">
                  <c:v>10.021425353980245</c:v>
                </c:pt>
                <c:pt idx="21">
                  <c:v>9.9912757666398004</c:v>
                </c:pt>
                <c:pt idx="22">
                  <c:v>9.9639928934122608</c:v>
                </c:pt>
                <c:pt idx="23">
                  <c:v>9.9393161239237227</c:v>
                </c:pt>
                <c:pt idx="24">
                  <c:v>9.9170155078442761</c:v>
                </c:pt>
                <c:pt idx="25">
                  <c:v>9.8968873748817128</c:v>
                </c:pt>
                <c:pt idx="26">
                  <c:v>9.8787506847762927</c:v>
                </c:pt>
                <c:pt idx="27">
                  <c:v>9.8624439691882468</c:v>
                </c:pt>
                <c:pt idx="28">
                  <c:v>9.8478227564451508</c:v>
                </c:pt>
                <c:pt idx="29">
                  <c:v>9.8347573924820093</c:v>
                </c:pt>
                <c:pt idx="30">
                  <c:v>9.8231311886403248</c:v>
                </c:pt>
                <c:pt idx="31">
                  <c:v>9.8128388405209677</c:v>
                </c:pt>
                <c:pt idx="32">
                  <c:v>9.8037850727151987</c:v>
                </c:pt>
                <c:pt idx="33">
                  <c:v>9.795883472643002</c:v>
                </c:pt>
                <c:pt idx="34">
                  <c:v>9.7890554834134491</c:v>
                </c:pt>
                <c:pt idx="35">
                  <c:v>9.7832295309703667</c:v>
                </c:pt>
                <c:pt idx="36">
                  <c:v>9.7783402650885485</c:v>
                </c:pt>
                <c:pt idx="37">
                  <c:v>9.7743278972640848</c:v>
                </c:pt>
                <c:pt idx="38">
                  <c:v>9.7711376213683909</c:v>
                </c:pt>
                <c:pt idx="39">
                  <c:v>9.7687191052425622</c:v>
                </c:pt>
                <c:pt idx="40">
                  <c:v>9.7670260433004064</c:v>
                </c:pt>
                <c:pt idx="41">
                  <c:v>9.7660157617664147</c:v>
                </c:pt>
                <c:pt idx="42">
                  <c:v>9.7656488694631918</c:v>
                </c:pt>
                <c:pt idx="43">
                  <c:v>9.7658889481323943</c:v>
                </c:pt>
                <c:pt idx="44">
                  <c:v>9.7667022771644394</c:v>
                </c:pt>
                <c:pt idx="45">
                  <c:v>9.7680575883577205</c:v>
                </c:pt>
                <c:pt idx="46">
                  <c:v>9.7699258469535977</c:v>
                </c:pt>
                <c:pt idx="47">
                  <c:v>9.7722800557203584</c:v>
                </c:pt>
                <c:pt idx="48">
                  <c:v>9.7750950793043341</c:v>
                </c:pt>
                <c:pt idx="49">
                  <c:v>9.7783474864436322</c:v>
                </c:pt>
                <c:pt idx="50">
                  <c:v>9.782015407960488</c:v>
                </c:pt>
                <c:pt idx="51">
                  <c:v>9.7860784087215791</c:v>
                </c:pt>
                <c:pt idx="52">
                  <c:v>9.790517371989278</c:v>
                </c:pt>
                <c:pt idx="53">
                  <c:v>9.7953143947870842</c:v>
                </c:pt>
                <c:pt idx="54">
                  <c:v>9.8004526930745204</c:v>
                </c:pt>
                <c:pt idx="55">
                  <c:v>9.8059165156751433</c:v>
                </c:pt>
                <c:pt idx="56">
                  <c:v>9.8116910660292636</c:v>
                </c:pt>
                <c:pt idx="57">
                  <c:v>9.8177624309538878</c:v>
                </c:pt>
                <c:pt idx="58">
                  <c:v>9.8241175156885525</c:v>
                </c:pt>
                <c:pt idx="59">
                  <c:v>9.8307439845893434</c:v>
                </c:pt>
                <c:pt idx="60">
                  <c:v>9.8376302069062831</c:v>
                </c:pt>
                <c:pt idx="61">
                  <c:v>9.844765207142915</c:v>
                </c:pt>
                <c:pt idx="62">
                  <c:v>9.8521386195525853</c:v>
                </c:pt>
                <c:pt idx="63">
                  <c:v>9.8597406463747586</c:v>
                </c:pt>
                <c:pt idx="64">
                  <c:v>9.8675620194575746</c:v>
                </c:pt>
                <c:pt idx="65">
                  <c:v>9.8755939649506104</c:v>
                </c:pt>
                <c:pt idx="66">
                  <c:v>9.8838281707850388</c:v>
                </c:pt>
                <c:pt idx="67">
                  <c:v>9.8922567566878215</c:v>
                </c:pt>
                <c:pt idx="68">
                  <c:v>9.9008722465024803</c:v>
                </c:pt>
                <c:pt idx="69">
                  <c:v>9.9096675426121106</c:v>
                </c:pt>
                <c:pt idx="70">
                  <c:v>9.9186359022806521</c:v>
                </c:pt>
                <c:pt idx="71">
                  <c:v>9.9277709157466596</c:v>
                </c:pt>
                <c:pt idx="72">
                  <c:v>9.9370664859199849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1F-45C0-97D0-504CADEC91CD}"/>
            </c:ext>
          </c:extLst>
        </c:ser>
        <c:ser>
          <c:idx val="1"/>
          <c:order val="1"/>
          <c:tx>
            <c:strRef>
              <c:f>'RAW Constrait'!$C$1</c:f>
              <c:strCache>
                <c:ptCount val="1"/>
                <c:pt idx="0">
                  <c:v>Serivce Celling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'RAW Constrait'!$A$2:$A$74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'RAW Constrait'!$C$2:$C$74</c:f>
              <c:numCache>
                <c:formatCode>General</c:formatCode>
                <c:ptCount val="73"/>
                <c:pt idx="0">
                  <c:v>3.6765322731933328</c:v>
                </c:pt>
                <c:pt idx="1">
                  <c:v>3.4622401089975146</c:v>
                </c:pt>
                <c:pt idx="2">
                  <c:v>3.2887584256097764</c:v>
                </c:pt>
                <c:pt idx="3">
                  <c:v>3.1466694197667167</c:v>
                </c:pt>
                <c:pt idx="4">
                  <c:v>3.0292460891373323</c:v>
                </c:pt>
                <c:pt idx="5">
                  <c:v>2.9315552986788878</c:v>
                </c:pt>
                <c:pt idx="6">
                  <c:v>2.8498971971093319</c:v>
                </c:pt>
                <c:pt idx="7">
                  <c:v>2.7814424863894489</c:v>
                </c:pt>
                <c:pt idx="8">
                  <c:v>2.7239906013776278</c:v>
                </c:pt>
                <c:pt idx="9">
                  <c:v>2.6758042538041735</c:v>
                </c:pt>
                <c:pt idx="10">
                  <c:v>2.6354936130533311</c:v>
                </c:pt>
                <c:pt idx="11">
                  <c:v>2.601933578150442</c:v>
                </c:pt>
                <c:pt idx="12">
                  <c:v>2.574203611934422</c:v>
                </c:pt>
                <c:pt idx="13">
                  <c:v>2.5515432706635051</c:v>
                </c:pt>
                <c:pt idx="14">
                  <c:v>2.533318851219553</c:v>
                </c:pt>
                <c:pt idx="15">
                  <c:v>2.518998042983331</c:v>
                </c:pt>
                <c:pt idx="16">
                  <c:v>2.5081304292770232</c:v>
                </c:pt>
                <c:pt idx="17">
                  <c:v>2.5003323218195281</c:v>
                </c:pt>
                <c:pt idx="18">
                  <c:v>2.4952748449413309</c:v>
                </c:pt>
                <c:pt idx="19">
                  <c:v>2.4926744851342271</c:v>
                </c:pt>
                <c:pt idx="20">
                  <c:v>2.4922855306911083</c:v>
                </c:pt>
                <c:pt idx="21">
                  <c:v>2.4938939746412658</c:v>
                </c:pt>
                <c:pt idx="22">
                  <c:v>2.4973125608853302</c:v>
                </c:pt>
                <c:pt idx="23">
                  <c:v>2.5023767310329461</c:v>
                </c:pt>
                <c:pt idx="24">
                  <c:v>2.5089412865043887</c:v>
                </c:pt>
                <c:pt idx="25">
                  <c:v>2.5168776228433298</c:v>
                </c:pt>
                <c:pt idx="26">
                  <c:v>2.5260714249774781</c:v>
                </c:pt>
                <c:pt idx="27">
                  <c:v>2.5364207362207352</c:v>
                </c:pt>
                <c:pt idx="28">
                  <c:v>2.5478343321697512</c:v>
                </c:pt>
                <c:pt idx="29">
                  <c:v>2.5602303447702357</c:v>
                </c:pt>
                <c:pt idx="30">
                  <c:v>2.5735350927733296</c:v>
                </c:pt>
                <c:pt idx="31">
                  <c:v>2.5876820833446952</c:v>
                </c:pt>
                <c:pt idx="32">
                  <c:v>2.6026111563008847</c:v>
                </c:pt>
                <c:pt idx="33">
                  <c:v>2.6182677477545848</c:v>
                </c:pt>
                <c:pt idx="34">
                  <c:v>2.6346022541718748</c:v>
                </c:pt>
                <c:pt idx="35">
                  <c:v>2.6515694812218475</c:v>
                </c:pt>
                <c:pt idx="36">
                  <c:v>2.6691281645154161</c:v>
                </c:pt>
                <c:pt idx="37">
                  <c:v>2.6872405515263926</c:v>
                </c:pt>
                <c:pt idx="38">
                  <c:v>2.70587203577244</c:v>
                </c:pt>
                <c:pt idx="39">
                  <c:v>2.724990835790186</c:v>
                </c:pt>
                <c:pt idx="40">
                  <c:v>2.7445677126333283</c:v>
                </c:pt>
                <c:pt idx="41">
                  <c:v>2.7645757206062562</c:v>
                </c:pt>
                <c:pt idx="42">
                  <c:v>2.7849899867591743</c:v>
                </c:pt>
                <c:pt idx="43">
                  <c:v>2.8057875153460454</c:v>
                </c:pt>
                <c:pt idx="44">
                  <c:v>2.8269470140094266</c:v>
                </c:pt>
                <c:pt idx="45">
                  <c:v>2.8484487389269639</c:v>
                </c:pt>
                <c:pt idx="46">
                  <c:v>2.8702743565493281</c:v>
                </c:pt>
                <c:pt idx="47">
                  <c:v>2.8924068198920532</c:v>
                </c:pt>
                <c:pt idx="48">
                  <c:v>2.914830257624776</c:v>
                </c:pt>
                <c:pt idx="49">
                  <c:v>2.9375298744395311</c:v>
                </c:pt>
                <c:pt idx="50">
                  <c:v>2.9604918613822164</c:v>
                </c:pt>
                <c:pt idx="51">
                  <c:v>2.9837033150039174</c:v>
                </c:pt>
                <c:pt idx="52">
                  <c:v>3.0071521643362953</c:v>
                </c:pt>
                <c:pt idx="53">
                  <c:v>3.0308271048216975</c:v>
                </c:pt>
                <c:pt idx="54">
                  <c:v>3.0547175384373273</c:v>
                </c:pt>
                <c:pt idx="55">
                  <c:v>3.0788135193464039</c:v>
                </c:pt>
                <c:pt idx="56">
                  <c:v>3.1031057044901349</c:v>
                </c:pt>
                <c:pt idx="57">
                  <c:v>3.127585308604282</c:v>
                </c:pt>
                <c:pt idx="58">
                  <c:v>3.1522440632048565</c:v>
                </c:pt>
                <c:pt idx="59">
                  <c:v>3.1770741791402735</c:v>
                </c:pt>
                <c:pt idx="60">
                  <c:v>3.2020683123533265</c:v>
                </c:pt>
                <c:pt idx="61">
                  <c:v>3.2272195325365094</c:v>
                </c:pt>
                <c:pt idx="62">
                  <c:v>3.2525212943994006</c:v>
                </c:pt>
                <c:pt idx="63">
                  <c:v>3.2779674112976274</c:v>
                </c:pt>
                <c:pt idx="64">
                  <c:v>3.3035520310000286</c:v>
                </c:pt>
                <c:pt idx="65">
                  <c:v>3.3292696133944371</c:v>
                </c:pt>
                <c:pt idx="66">
                  <c:v>3.3551149099535365</c:v>
                </c:pt>
                <c:pt idx="67">
                  <c:v>3.3810829448007804</c:v>
                </c:pt>
                <c:pt idx="68">
                  <c:v>3.4071689972327786</c:v>
                </c:pt>
                <c:pt idx="69">
                  <c:v>3.4333685855690979</c:v>
                </c:pt>
                <c:pt idx="70">
                  <c:v>3.4596774522133256</c:v>
                </c:pt>
                <c:pt idx="71">
                  <c:v>3.4860915498207246</c:v>
                </c:pt>
                <c:pt idx="72">
                  <c:v>3.5126070284780084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1F-45C0-97D0-504CADEC91CD}"/>
            </c:ext>
          </c:extLst>
        </c:ser>
        <c:ser>
          <c:idx val="2"/>
          <c:order val="2"/>
          <c:tx>
            <c:strRef>
              <c:f>'RAW Constrait'!$D$1</c:f>
              <c:strCache>
                <c:ptCount val="1"/>
                <c:pt idx="0">
                  <c:v>18k Cruise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'RAW Constrait'!$A$2:$A$74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'RAW Constrait'!$D$2:$D$74</c:f>
              <c:numCache>
                <c:formatCode>General</c:formatCode>
                <c:ptCount val="73"/>
                <c:pt idx="0">
                  <c:v>11.986838739457804</c:v>
                </c:pt>
                <c:pt idx="1">
                  <c:v>10.925636190108131</c:v>
                </c:pt>
                <c:pt idx="2">
                  <c:v>10.043789706099364</c:v>
                </c:pt>
                <c:pt idx="3">
                  <c:v>9.2999094261989903</c:v>
                </c:pt>
                <c:pt idx="4">
                  <c:v>8.6644311638123543</c:v>
                </c:pt>
                <c:pt idx="5">
                  <c:v>8.1156745154367051</c:v>
                </c:pt>
                <c:pt idx="6">
                  <c:v>7.6373791784449852</c:v>
                </c:pt>
                <c:pt idx="7">
                  <c:v>7.2171108037694429</c:v>
                </c:pt>
                <c:pt idx="8">
                  <c:v>6.845198231024046</c:v>
                </c:pt>
                <c:pt idx="9">
                  <c:v>6.5140063335882479</c:v>
                </c:pt>
                <c:pt idx="10">
                  <c:v>6.2174270101656059</c:v>
                </c:pt>
                <c:pt idx="11">
                  <c:v>5.9505156073256726</c:v>
                </c:pt>
                <c:pt idx="12">
                  <c:v>5.7092264995344397</c:v>
                </c:pt>
                <c:pt idx="13">
                  <c:v>5.4902176483072953</c:v>
                </c:pt>
                <c:pt idx="14">
                  <c:v>5.2907040215737275</c:v>
                </c:pt>
                <c:pt idx="15">
                  <c:v>5.1083461923945084</c:v>
                </c:pt>
                <c:pt idx="16">
                  <c:v>4.9411646456672109</c:v>
                </c:pt>
                <c:pt idx="17">
                  <c:v>4.7874731277860691</c:v>
                </c:pt>
                <c:pt idx="18">
                  <c:v>4.6458262785175632</c:v>
                </c:pt>
                <c:pt idx="19">
                  <c:v>4.5149780976603866</c:v>
                </c:pt>
                <c:pt idx="20">
                  <c:v>4.3938487183734098</c:v>
                </c:pt>
                <c:pt idx="21">
                  <c:v>4.2814976114724157</c:v>
                </c:pt>
                <c:pt idx="22">
                  <c:v>4.1771018139212197</c:v>
                </c:pt>
                <c:pt idx="23">
                  <c:v>4.0799381157789316</c:v>
                </c:pt>
                <c:pt idx="24">
                  <c:v>3.9893683906271185</c:v>
                </c:pt>
                <c:pt idx="25">
                  <c:v>3.9048274407808816</c:v>
                </c:pt>
                <c:pt idx="26">
                  <c:v>3.8258128682980908</c:v>
                </c:pt>
                <c:pt idx="27">
                  <c:v>3.7518765885276548</c:v>
                </c:pt>
                <c:pt idx="28">
                  <c:v>3.682617683623862</c:v>
                </c:pt>
                <c:pt idx="29">
                  <c:v>3.6176763555200471</c:v>
                </c:pt>
                <c:pt idx="30">
                  <c:v>3.5567287859562122</c:v>
                </c:pt>
                <c:pt idx="31">
                  <c:v>3.4994827486977238</c:v>
                </c:pt>
                <c:pt idx="32">
                  <c:v>3.4456738485799154</c:v>
                </c:pt>
                <c:pt idx="33">
                  <c:v>3.3950622853371573</c:v>
                </c:pt>
                <c:pt idx="34">
                  <c:v>3.3474300587279693</c:v>
                </c:pt>
                <c:pt idx="35">
                  <c:v>3.3025785463101136</c:v>
                </c:pt>
                <c:pt idx="36">
                  <c:v>3.2603263971580674</c:v>
                </c:pt>
                <c:pt idx="37">
                  <c:v>3.2205076944676314</c:v>
                </c:pt>
                <c:pt idx="38">
                  <c:v>3.1829703478349543</c:v>
                </c:pt>
                <c:pt idx="39">
                  <c:v>3.1475746823993571</c:v>
                </c:pt>
                <c:pt idx="40">
                  <c:v>3.1141921972890145</c:v>
                </c:pt>
                <c:pt idx="41">
                  <c:v>3.082704470131854</c:v>
                </c:pt>
                <c:pt idx="42">
                  <c:v>3.0530021879690366</c:v>
                </c:pt>
                <c:pt idx="43">
                  <c:v>3.024984287876356</c:v>
                </c:pt>
                <c:pt idx="44">
                  <c:v>2.998557193072136</c:v>
                </c:pt>
                <c:pt idx="45">
                  <c:v>2.9736341323588253</c:v>
                </c:pt>
                <c:pt idx="46">
                  <c:v>2.9501345324815538</c:v>
                </c:pt>
                <c:pt idx="47">
                  <c:v>2.9279834744489501</c:v>
                </c:pt>
                <c:pt idx="48">
                  <c:v>2.9071112060966362</c:v>
                </c:pt>
                <c:pt idx="49">
                  <c:v>2.8874527042205287</c:v>
                </c:pt>
                <c:pt idx="50">
                  <c:v>2.8689472804968177</c:v>
                </c:pt>
                <c:pt idx="51">
                  <c:v>2.8515382261639091</c:v>
                </c:pt>
                <c:pt idx="52">
                  <c:v>2.8351724910899909</c:v>
                </c:pt>
                <c:pt idx="53">
                  <c:v>2.8198003934055871</c:v>
                </c:pt>
                <c:pt idx="54">
                  <c:v>2.8053753563580637</c:v>
                </c:pt>
                <c:pt idx="55">
                  <c:v>2.7918536694564882</c:v>
                </c:pt>
                <c:pt idx="56">
                  <c:v>2.7791942713305904</c:v>
                </c:pt>
                <c:pt idx="57">
                  <c:v>2.7673585520351902</c:v>
                </c:pt>
                <c:pt idx="58">
                  <c:v>2.7563101727983543</c:v>
                </c:pt>
                <c:pt idx="59">
                  <c:v>2.7460149014436226</c:v>
                </c:pt>
                <c:pt idx="60">
                  <c:v>2.7364404619189062</c:v>
                </c:pt>
                <c:pt idx="61">
                  <c:v>2.7275563965412459</c:v>
                </c:pt>
                <c:pt idx="62">
                  <c:v>2.7193339397211811</c:v>
                </c:pt>
                <c:pt idx="63">
                  <c:v>2.711745902065934</c:v>
                </c:pt>
                <c:pt idx="64">
                  <c:v>2.7047665638796334</c:v>
                </c:pt>
                <c:pt idx="65">
                  <c:v>2.6983715771835222</c:v>
                </c:pt>
                <c:pt idx="66">
                  <c:v>2.6925378754714075</c:v>
                </c:pt>
                <c:pt idx="67">
                  <c:v>2.6872435904971601</c:v>
                </c:pt>
                <c:pt idx="68">
                  <c:v>2.6824679754631706</c:v>
                </c:pt>
                <c:pt idx="69">
                  <c:v>2.6781913340425922</c:v>
                </c:pt>
                <c:pt idx="70">
                  <c:v>2.6743949547249231</c:v>
                </c:pt>
                <c:pt idx="71">
                  <c:v>2.6710610500248704</c:v>
                </c:pt>
                <c:pt idx="72">
                  <c:v>2.6681727001393494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1F-45C0-97D0-504CADEC91CD}"/>
            </c:ext>
          </c:extLst>
        </c:ser>
        <c:ser>
          <c:idx val="3"/>
          <c:order val="3"/>
          <c:tx>
            <c:strRef>
              <c:f>'RAW Constrait'!$E$1</c:f>
              <c:strCache>
                <c:ptCount val="1"/>
                <c:pt idx="0">
                  <c:v>Stall limit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518.70000000000005</c:v>
              </c:pt>
              <c:pt idx="1">
                <c:v>518.70000000000005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A51F-45C0-97D0-504CADEC91CD}"/>
            </c:ext>
          </c:extLst>
        </c:ser>
        <c:ser>
          <c:idx val="4"/>
          <c:order val="4"/>
          <c:tx>
            <c:v>Optimum Point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51F-45C0-97D0-504CADEC91CD}"/>
              </c:ext>
            </c:extLst>
          </c:dPt>
          <c:xVal>
            <c:numLit>
              <c:formatCode>General</c:formatCode>
              <c:ptCount val="1"/>
              <c:pt idx="0">
                <c:v>518.70000000000005</c:v>
              </c:pt>
            </c:numLit>
          </c:xVal>
          <c:yVal>
            <c:numLit>
              <c:formatCode>General</c:formatCode>
              <c:ptCount val="1"/>
              <c:pt idx="0">
                <c:v>9.77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A51F-45C0-97D0-504CADEC9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33375"/>
        <c:axId val="211733855"/>
      </c:scatterChart>
      <c:valAx>
        <c:axId val="211733375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3855"/>
        <c:crosses val="autoZero"/>
        <c:crossBetween val="midCat"/>
      </c:valAx>
      <c:valAx>
        <c:axId val="2117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800"/>
                  <a:t>P /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3375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Altitude</a:t>
            </a:r>
            <a:r>
              <a:rPr lang="en-US"/>
              <a:t>Normalization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Normalization!$B$1</c:f>
              <c:strCache>
                <c:ptCount val="1"/>
                <c:pt idx="0">
                  <c:v>SL RoC(W/N)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Normalization!$A$2:$A$74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Normalization!$B$2:$B$74</c:f>
              <c:numCache>
                <c:formatCode>General</c:formatCode>
                <c:ptCount val="73"/>
                <c:pt idx="0">
                  <c:v>12.550848984660082</c:v>
                </c:pt>
                <c:pt idx="1">
                  <c:v>12.178778586762453</c:v>
                </c:pt>
                <c:pt idx="2">
                  <c:v>11.871339561592098</c:v>
                </c:pt>
                <c:pt idx="3">
                  <c:v>11.613616976981184</c:v>
                </c:pt>
                <c:pt idx="4">
                  <c:v>11.394957309952686</c:v>
                </c:pt>
                <c:pt idx="5">
                  <c:v>11.207547976990123</c:v>
                </c:pt>
                <c:pt idx="6">
                  <c:v>11.04552954045613</c:v>
                </c:pt>
                <c:pt idx="7">
                  <c:v>10.904421253922139</c:v>
                </c:pt>
                <c:pt idx="8">
                  <c:v>10.780738092388148</c:v>
                </c:pt>
                <c:pt idx="9">
                  <c:v>10.671728720327838</c:v>
                </c:pt>
                <c:pt idx="10">
                  <c:v>10.575192069320163</c:v>
                </c:pt>
                <c:pt idx="11">
                  <c:v>10.489346322071885</c:v>
                </c:pt>
                <c:pt idx="12">
                  <c:v>10.412733628070361</c:v>
                </c:pt>
                <c:pt idx="13">
                  <c:v>10.344149676022536</c:v>
                </c:pt>
                <c:pt idx="14">
                  <c:v>10.282590873184196</c:v>
                </c:pt>
                <c:pt idx="15">
                  <c:v>10.227214201650204</c:v>
                </c:pt>
                <c:pt idx="16">
                  <c:v>10.17730633857775</c:v>
                </c:pt>
                <c:pt idx="17">
                  <c:v>10.132259638582219</c:v>
                </c:pt>
                <c:pt idx="18">
                  <c:v>10.091553262762513</c:v>
                </c:pt>
                <c:pt idx="19">
                  <c:v>10.05473821206596</c:v>
                </c:pt>
                <c:pt idx="20">
                  <c:v>10.021425353980245</c:v>
                </c:pt>
                <c:pt idx="21">
                  <c:v>9.9912757666398004</c:v>
                </c:pt>
                <c:pt idx="22">
                  <c:v>9.9639928934122608</c:v>
                </c:pt>
                <c:pt idx="23">
                  <c:v>9.9393161239237227</c:v>
                </c:pt>
                <c:pt idx="24">
                  <c:v>9.9170155078442761</c:v>
                </c:pt>
                <c:pt idx="25">
                  <c:v>9.8968873748817128</c:v>
                </c:pt>
                <c:pt idx="26">
                  <c:v>9.8787506847762927</c:v>
                </c:pt>
                <c:pt idx="27">
                  <c:v>9.8624439691882468</c:v>
                </c:pt>
                <c:pt idx="28">
                  <c:v>9.8478227564451508</c:v>
                </c:pt>
                <c:pt idx="29">
                  <c:v>9.8347573924820093</c:v>
                </c:pt>
                <c:pt idx="30">
                  <c:v>9.8231311886403248</c:v>
                </c:pt>
                <c:pt idx="31">
                  <c:v>9.8128388405209677</c:v>
                </c:pt>
                <c:pt idx="32">
                  <c:v>9.8037850727151987</c:v>
                </c:pt>
                <c:pt idx="33">
                  <c:v>9.795883472643002</c:v>
                </c:pt>
                <c:pt idx="34">
                  <c:v>9.7890554834134491</c:v>
                </c:pt>
                <c:pt idx="35">
                  <c:v>9.7832295309703667</c:v>
                </c:pt>
                <c:pt idx="36">
                  <c:v>9.7783402650885485</c:v>
                </c:pt>
                <c:pt idx="37">
                  <c:v>9.7743278972640848</c:v>
                </c:pt>
                <c:pt idx="38">
                  <c:v>9.7711376213683909</c:v>
                </c:pt>
                <c:pt idx="39">
                  <c:v>9.7687191052425622</c:v>
                </c:pt>
                <c:pt idx="40">
                  <c:v>9.7670260433004064</c:v>
                </c:pt>
                <c:pt idx="41">
                  <c:v>9.7660157617664147</c:v>
                </c:pt>
                <c:pt idx="42">
                  <c:v>9.7656488694631918</c:v>
                </c:pt>
                <c:pt idx="43">
                  <c:v>9.7658889481323943</c:v>
                </c:pt>
                <c:pt idx="44">
                  <c:v>9.7667022771644394</c:v>
                </c:pt>
                <c:pt idx="45">
                  <c:v>9.7680575883577205</c:v>
                </c:pt>
                <c:pt idx="46">
                  <c:v>9.7699258469535977</c:v>
                </c:pt>
                <c:pt idx="47">
                  <c:v>9.7722800557203584</c:v>
                </c:pt>
                <c:pt idx="48">
                  <c:v>9.7750950793043341</c:v>
                </c:pt>
                <c:pt idx="49">
                  <c:v>9.7783474864436322</c:v>
                </c:pt>
                <c:pt idx="50">
                  <c:v>9.782015407960488</c:v>
                </c:pt>
                <c:pt idx="51">
                  <c:v>9.7860784087215791</c:v>
                </c:pt>
                <c:pt idx="52">
                  <c:v>9.790517371989278</c:v>
                </c:pt>
                <c:pt idx="53">
                  <c:v>9.7953143947870842</c:v>
                </c:pt>
                <c:pt idx="54">
                  <c:v>9.8004526930745204</c:v>
                </c:pt>
                <c:pt idx="55">
                  <c:v>9.8059165156751433</c:v>
                </c:pt>
                <c:pt idx="56">
                  <c:v>9.8116910660292636</c:v>
                </c:pt>
                <c:pt idx="57">
                  <c:v>9.8177624309538878</c:v>
                </c:pt>
                <c:pt idx="58">
                  <c:v>9.8241175156885525</c:v>
                </c:pt>
                <c:pt idx="59">
                  <c:v>9.8307439845893434</c:v>
                </c:pt>
                <c:pt idx="60">
                  <c:v>9.8376302069062831</c:v>
                </c:pt>
                <c:pt idx="61">
                  <c:v>9.844765207142915</c:v>
                </c:pt>
                <c:pt idx="62">
                  <c:v>9.8521386195525853</c:v>
                </c:pt>
                <c:pt idx="63">
                  <c:v>9.8597406463747586</c:v>
                </c:pt>
                <c:pt idx="64">
                  <c:v>9.8675620194575746</c:v>
                </c:pt>
                <c:pt idx="65">
                  <c:v>9.8755939649506104</c:v>
                </c:pt>
                <c:pt idx="66">
                  <c:v>9.8838281707850388</c:v>
                </c:pt>
                <c:pt idx="67">
                  <c:v>9.8922567566878215</c:v>
                </c:pt>
                <c:pt idx="68">
                  <c:v>9.9008722465024803</c:v>
                </c:pt>
                <c:pt idx="69">
                  <c:v>9.9096675426121106</c:v>
                </c:pt>
                <c:pt idx="70">
                  <c:v>9.9186359022806521</c:v>
                </c:pt>
                <c:pt idx="71">
                  <c:v>9.9277709157466596</c:v>
                </c:pt>
                <c:pt idx="72">
                  <c:v>9.9370664859199849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4-408F-BCDF-9E5D60487126}"/>
            </c:ext>
          </c:extLst>
        </c:ser>
        <c:ser>
          <c:idx val="1"/>
          <c:order val="1"/>
          <c:tx>
            <c:strRef>
              <c:f>Normalization!$C$1</c:f>
              <c:strCache>
                <c:ptCount val="1"/>
                <c:pt idx="0">
                  <c:v>Service Ceiling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Normalization!$A$2:$A$74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Normalization!$C$2:$C$74</c:f>
              <c:numCache>
                <c:formatCode>General</c:formatCode>
                <c:ptCount val="73"/>
                <c:pt idx="0">
                  <c:v>9.3491442377159775</c:v>
                </c:pt>
                <c:pt idx="1">
                  <c:v>8.8042154289341958</c:v>
                </c:pt>
                <c:pt idx="2">
                  <c:v>8.3630645943775335</c:v>
                </c:pt>
                <c:pt idx="3">
                  <c:v>8.0017429707632761</c:v>
                </c:pt>
                <c:pt idx="4">
                  <c:v>7.7031442986037622</c:v>
                </c:pt>
                <c:pt idx="5">
                  <c:v>7.4547239876080438</c:v>
                </c:pt>
                <c:pt idx="6">
                  <c:v>7.2470735950579073</c:v>
                </c:pt>
                <c:pt idx="7">
                  <c:v>7.0729984294629569</c:v>
                </c:pt>
                <c:pt idx="8">
                  <c:v>6.9269026196639985</c:v>
                </c:pt>
                <c:pt idx="9">
                  <c:v>6.8043683726406075</c:v>
                </c:pt>
                <c:pt idx="10">
                  <c:v>6.7018614539764503</c:v>
                </c:pt>
                <c:pt idx="11">
                  <c:v>6.6165208167630656</c:v>
                </c:pt>
                <c:pt idx="12">
                  <c:v>6.5460056044389852</c:v>
                </c:pt>
                <c:pt idx="13">
                  <c:v>6.48838206593169</c:v>
                </c:pt>
                <c:pt idx="14">
                  <c:v>6.4420387420140806</c:v>
                </c:pt>
                <c:pt idx="15">
                  <c:v>6.4056220069353973</c:v>
                </c:pt>
                <c:pt idx="16">
                  <c:v>6.3779864850603776</c:v>
                </c:pt>
                <c:pt idx="17">
                  <c:v>6.3581564860330584</c:v>
                </c:pt>
                <c:pt idx="18">
                  <c:v>6.3452957038340463</c:v>
                </c:pt>
                <c:pt idx="19">
                  <c:v>6.3386831849983398</c:v>
                </c:pt>
                <c:pt idx="20">
                  <c:v>6.3376941031896115</c:v>
                </c:pt>
                <c:pt idx="21">
                  <c:v>6.3417842548246037</c:v>
                </c:pt>
                <c:pt idx="22">
                  <c:v>6.3504774617679693</c:v>
                </c:pt>
                <c:pt idx="23">
                  <c:v>6.3633552644462172</c:v>
                </c:pt>
                <c:pt idx="24">
                  <c:v>6.3800484338239203</c:v>
                </c:pt>
                <c:pt idx="25">
                  <c:v>6.4002299384696935</c:v>
                </c:pt>
                <c:pt idx="26">
                  <c:v>6.4236090837778654</c:v>
                </c:pt>
                <c:pt idx="27">
                  <c:v>6.4499266015866201</c:v>
                </c:pt>
                <c:pt idx="28">
                  <c:v>6.478950515119597</c:v>
                </c:pt>
                <c:pt idx="29">
                  <c:v>6.5104726400903141</c:v>
                </c:pt>
                <c:pt idx="30">
                  <c:v>6.5443056106409436</c:v>
                </c:pt>
                <c:pt idx="31">
                  <c:v>6.5802803405095389</c:v>
                </c:pt>
                <c:pt idx="32">
                  <c:v>6.6182438468876761</c:v>
                </c:pt>
                <c:pt idx="33">
                  <c:v>6.658057377925851</c:v>
                </c:pt>
                <c:pt idx="34">
                  <c:v>6.6995947955790616</c:v>
                </c:pt>
                <c:pt idx="35">
                  <c:v>6.7427411740729708</c:v>
                </c:pt>
                <c:pt idx="36">
                  <c:v>6.7873915811788397</c:v>
                </c:pt>
                <c:pt idx="37">
                  <c:v>6.8334500150703699</c:v>
                </c:pt>
                <c:pt idx="38">
                  <c:v>6.8808284740734598</c:v>
                </c:pt>
                <c:pt idx="39">
                  <c:v>6.9294461403241367</c:v>
                </c:pt>
                <c:pt idx="40">
                  <c:v>6.9792286613875429</c:v>
                </c:pt>
                <c:pt idx="41">
                  <c:v>7.0301075163923432</c:v>
                </c:pt>
                <c:pt idx="42">
                  <c:v>7.0820194553034588</c:v>
                </c:pt>
                <c:pt idx="43">
                  <c:v>7.1349060016733601</c:v>
                </c:pt>
                <c:pt idx="44">
                  <c:v>7.188713010643224</c:v>
                </c:pt>
                <c:pt idx="45">
                  <c:v>7.2433902751621471</c:v>
                </c:pt>
                <c:pt idx="46">
                  <c:v>7.2988911743971441</c:v>
                </c:pt>
                <c:pt idx="47">
                  <c:v>7.3551723591526299</c:v>
                </c:pt>
                <c:pt idx="48">
                  <c:v>7.4121934698327161</c:v>
                </c:pt>
                <c:pt idx="49">
                  <c:v>7.4699168830853075</c:v>
                </c:pt>
                <c:pt idx="50">
                  <c:v>7.5283074837817781</c:v>
                </c:pt>
                <c:pt idx="51">
                  <c:v>7.5873324594248857</c:v>
                </c:pt>
                <c:pt idx="52">
                  <c:v>7.6469611144526999</c:v>
                </c:pt>
                <c:pt idx="53">
                  <c:v>7.7071647022278498</c:v>
                </c:pt>
                <c:pt idx="54">
                  <c:v>7.7679162727778079</c:v>
                </c:pt>
                <c:pt idx="55">
                  <c:v>7.8291905345898876</c:v>
                </c:pt>
                <c:pt idx="56">
                  <c:v>7.8909637289703571</c:v>
                </c:pt>
                <c:pt idx="57">
                  <c:v>7.9532135156549613</c:v>
                </c:pt>
                <c:pt idx="58">
                  <c:v>8.0159188685126352</c:v>
                </c:pt>
                <c:pt idx="59">
                  <c:v>8.0790599803184602</c:v>
                </c:pt>
                <c:pt idx="60">
                  <c:v>8.1426181756889466</c:v>
                </c:pt>
                <c:pt idx="61">
                  <c:v>8.2065758313748809</c:v>
                </c:pt>
                <c:pt idx="62">
                  <c:v>8.2709163031964579</c:v>
                </c:pt>
                <c:pt idx="63">
                  <c:v>8.3356238589837144</c:v>
                </c:pt>
                <c:pt idx="64">
                  <c:v>8.4006836169542591</c:v>
                </c:pt>
                <c:pt idx="65">
                  <c:v>8.4660814890207643</c:v>
                </c:pt>
                <c:pt idx="66">
                  <c:v>8.5318041285741728</c:v>
                </c:pt>
                <c:pt idx="67">
                  <c:v>8.597838882335779</c:v>
                </c:pt>
                <c:pt idx="68">
                  <c:v>8.664173745912958</c:v>
                </c:pt>
                <c:pt idx="69">
                  <c:v>8.7307973227304352</c:v>
                </c:pt>
                <c:pt idx="70">
                  <c:v>8.797698786041698</c:v>
                </c:pt>
                <c:pt idx="71">
                  <c:v>8.8648678437543857</c:v>
                </c:pt>
                <c:pt idx="72">
                  <c:v>8.9322947058294222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C4-408F-BCDF-9E5D60487126}"/>
            </c:ext>
          </c:extLst>
        </c:ser>
        <c:ser>
          <c:idx val="2"/>
          <c:order val="2"/>
          <c:tx>
            <c:strRef>
              <c:f>Normalization!$D$1</c:f>
              <c:strCache>
                <c:ptCount val="1"/>
                <c:pt idx="0">
                  <c:v>18k Cruise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Normalization!$A$2:$A$74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Normalization!$D$2:$D$74</c:f>
              <c:numCache>
                <c:formatCode>General</c:formatCode>
                <c:ptCount val="73"/>
                <c:pt idx="0">
                  <c:v>23.366567326634978</c:v>
                </c:pt>
                <c:pt idx="1">
                  <c:v>21.297910080504593</c:v>
                </c:pt>
                <c:pt idx="2">
                  <c:v>19.578880927929269</c:v>
                </c:pt>
                <c:pt idx="3">
                  <c:v>18.128796462704006</c:v>
                </c:pt>
                <c:pt idx="4">
                  <c:v>16.890025680396644</c:v>
                </c:pt>
                <c:pt idx="5">
                  <c:v>15.820305844423597</c:v>
                </c:pt>
                <c:pt idx="6">
                  <c:v>14.887939902347187</c:v>
                </c:pt>
                <c:pt idx="7">
                  <c:v>14.068688931715066</c:v>
                </c:pt>
                <c:pt idx="8">
                  <c:v>13.343700437286515</c:v>
                </c:pt>
                <c:pt idx="9">
                  <c:v>12.69809087018729</c:v>
                </c:pt>
                <c:pt idx="10">
                  <c:v>12.119953391317988</c:v>
                </c:pt>
                <c:pt idx="11">
                  <c:v>11.599649130931484</c:v>
                </c:pt>
                <c:pt idx="12">
                  <c:v>11.129291741052844</c:v>
                </c:pt>
                <c:pt idx="13">
                  <c:v>10.702366412485395</c:v>
                </c:pt>
                <c:pt idx="14">
                  <c:v>10.313444137565236</c:v>
                </c:pt>
                <c:pt idx="15">
                  <c:v>9.957964549854692</c:v>
                </c:pt>
                <c:pt idx="16">
                  <c:v>9.6320688777526531</c:v>
                </c:pt>
                <c:pt idx="17">
                  <c:v>9.3324700195248447</c:v>
                </c:pt>
                <c:pt idx="18">
                  <c:v>9.0563504593990221</c:v>
                </c:pt>
                <c:pt idx="19">
                  <c:v>8.801281304468084</c:v>
                </c:pt>
                <c:pt idx="20">
                  <c:v>8.5651575142125491</c:v>
                </c:pt>
                <c:pt idx="21">
                  <c:v>8.3461456662444675</c:v>
                </c:pt>
                <c:pt idx="22">
                  <c:v>8.1426415159743932</c:v>
                </c:pt>
                <c:pt idx="23">
                  <c:v>7.9532352727025071</c:v>
                </c:pt>
                <c:pt idx="24">
                  <c:v>7.7766830034583814</c:v>
                </c:pt>
                <c:pt idx="25">
                  <c:v>7.6118829390396359</c:v>
                </c:pt>
                <c:pt idx="26">
                  <c:v>7.4578557290441569</c:v>
                </c:pt>
                <c:pt idx="27">
                  <c:v>7.3137278987889749</c:v>
                </c:pt>
                <c:pt idx="28">
                  <c:v>7.1787179182945939</c:v>
                </c:pt>
                <c:pt idx="29">
                  <c:v>7.0521244145024911</c:v>
                </c:pt>
                <c:pt idx="30">
                  <c:v>6.9333161516599944</c:v>
                </c:pt>
                <c:pt idx="31">
                  <c:v>6.8217234779903038</c:v>
                </c:pt>
                <c:pt idx="32">
                  <c:v>6.7168309942667914</c:v>
                </c:pt>
                <c:pt idx="33">
                  <c:v>6.6181712453769315</c:v>
                </c:pt>
                <c:pt idx="34">
                  <c:v>6.5253192721275219</c:v>
                </c:pt>
                <c:pt idx="35">
                  <c:v>6.4378878894758653</c:v>
                </c:pt>
                <c:pt idx="36">
                  <c:v>6.3555235806438466</c:v>
                </c:pt>
                <c:pt idx="37">
                  <c:v>6.2779029153876609</c:v>
                </c:pt>
                <c:pt idx="38">
                  <c:v>6.2047294159838176</c:v>
                </c:pt>
                <c:pt idx="39">
                  <c:v>6.1357308069719689</c:v>
                </c:pt>
                <c:pt idx="40">
                  <c:v>6.0706565949285949</c:v>
                </c:pt>
                <c:pt idx="41">
                  <c:v>6.0092759329731988</c:v>
                </c:pt>
                <c:pt idx="42">
                  <c:v>5.9513757316776257</c:v>
                </c:pt>
                <c:pt idx="43">
                  <c:v>5.8967589838347187</c:v>
                </c:pt>
                <c:pt idx="44">
                  <c:v>5.8452432753637709</c:v>
                </c:pt>
                <c:pt idx="45">
                  <c:v>5.7966594586626776</c:v>
                </c:pt>
                <c:pt idx="46">
                  <c:v>5.7508504681009098</c:v>
                </c:pt>
                <c:pt idx="47">
                  <c:v>5.7076702601974505</c:v>
                </c:pt>
                <c:pt idx="48">
                  <c:v>5.666982863435492</c:v>
                </c:pt>
                <c:pt idx="49">
                  <c:v>5.6286615247061427</c:v>
                </c:pt>
                <c:pt idx="50">
                  <c:v>5.5925879411077739</c:v>
                </c:pt>
                <c:pt idx="51">
                  <c:v>5.5586515673060717</c:v>
                </c:pt>
                <c:pt idx="52">
                  <c:v>5.5267489899237825</c:v>
                </c:pt>
                <c:pt idx="53">
                  <c:v>5.4967833615123602</c:v>
                </c:pt>
                <c:pt idx="54">
                  <c:v>5.4686638875887956</c:v>
                </c:pt>
                <c:pt idx="55">
                  <c:v>5.4423053610228802</c:v>
                </c:pt>
                <c:pt idx="56">
                  <c:v>5.4176277387529028</c:v>
                </c:pt>
                <c:pt idx="57">
                  <c:v>5.3945557564074038</c:v>
                </c:pt>
                <c:pt idx="58">
                  <c:v>5.3730185769308907</c:v>
                </c:pt>
                <c:pt idx="59">
                  <c:v>5.3529494697638409</c:v>
                </c:pt>
                <c:pt idx="60">
                  <c:v>5.3342855175215673</c:v>
                </c:pt>
                <c:pt idx="61">
                  <c:v>5.3169673474607668</c:v>
                </c:pt>
                <c:pt idx="62">
                  <c:v>5.3009388853238777</c:v>
                </c:pt>
                <c:pt idx="63">
                  <c:v>5.2861471294153972</c:v>
                </c:pt>
                <c:pt idx="64">
                  <c:v>5.2725419429963365</c:v>
                </c:pt>
                <c:pt idx="65">
                  <c:v>5.2600758632871187</c:v>
                </c:pt>
                <c:pt idx="66">
                  <c:v>5.2487039255491963</c:v>
                </c:pt>
                <c:pt idx="67">
                  <c:v>5.2383835008745967</c:v>
                </c:pt>
                <c:pt idx="68">
                  <c:v>5.2290741464531942</c:v>
                </c:pt>
                <c:pt idx="69">
                  <c:v>5.2207374672120803</c:v>
                </c:pt>
                <c:pt idx="70">
                  <c:v>5.2133369878319957</c:v>
                </c:pt>
                <c:pt idx="71">
                  <c:v>5.2068380342440133</c:v>
                </c:pt>
                <c:pt idx="72">
                  <c:v>5.2012076237971998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C4-408F-BCDF-9E5D60487126}"/>
            </c:ext>
          </c:extLst>
        </c:ser>
        <c:ser>
          <c:idx val="3"/>
          <c:order val="3"/>
          <c:tx>
            <c:v>Stall limit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518.70000000000005</c:v>
              </c:pt>
              <c:pt idx="1">
                <c:v>518.70000000000005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1C4-408F-BCDF-9E5D6048712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54734543"/>
        <c:axId val="354751343"/>
      </c:scatterChart>
      <c:valAx>
        <c:axId val="354734543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51343"/>
        <c:crosses val="autoZero"/>
        <c:crossBetween val="midCat"/>
      </c:valAx>
      <c:valAx>
        <c:axId val="3547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3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Normalization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Weight_Norm_Constraint!$B$1</c:f>
              <c:strCache>
                <c:ptCount val="1"/>
                <c:pt idx="0">
                  <c:v>SL RoC(W/N)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Weight_Norm_Constraint!$A$2:$A$74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Weight_Norm_Constraint!$B$2:$B$74</c:f>
              <c:numCache>
                <c:formatCode>General</c:formatCode>
                <c:ptCount val="73"/>
                <c:pt idx="0">
                  <c:v>12.550848984660082</c:v>
                </c:pt>
                <c:pt idx="1">
                  <c:v>12.178778586762453</c:v>
                </c:pt>
                <c:pt idx="2">
                  <c:v>11.871339561592098</c:v>
                </c:pt>
                <c:pt idx="3">
                  <c:v>11.613616976981184</c:v>
                </c:pt>
                <c:pt idx="4">
                  <c:v>11.394957309952686</c:v>
                </c:pt>
                <c:pt idx="5">
                  <c:v>11.207547976990123</c:v>
                </c:pt>
                <c:pt idx="6">
                  <c:v>11.04552954045613</c:v>
                </c:pt>
                <c:pt idx="7">
                  <c:v>10.904421253922139</c:v>
                </c:pt>
                <c:pt idx="8">
                  <c:v>10.780738092388148</c:v>
                </c:pt>
                <c:pt idx="9">
                  <c:v>10.671728720327838</c:v>
                </c:pt>
                <c:pt idx="10">
                  <c:v>10.575192069320163</c:v>
                </c:pt>
                <c:pt idx="11">
                  <c:v>10.489346322071885</c:v>
                </c:pt>
                <c:pt idx="12">
                  <c:v>10.412733628070361</c:v>
                </c:pt>
                <c:pt idx="13">
                  <c:v>10.344149676022536</c:v>
                </c:pt>
                <c:pt idx="14">
                  <c:v>10.282590873184196</c:v>
                </c:pt>
                <c:pt idx="15">
                  <c:v>10.227214201650204</c:v>
                </c:pt>
                <c:pt idx="16">
                  <c:v>10.17730633857775</c:v>
                </c:pt>
                <c:pt idx="17">
                  <c:v>10.132259638582219</c:v>
                </c:pt>
                <c:pt idx="18">
                  <c:v>10.091553262762513</c:v>
                </c:pt>
                <c:pt idx="19">
                  <c:v>10.05473821206596</c:v>
                </c:pt>
                <c:pt idx="20">
                  <c:v>10.021425353980245</c:v>
                </c:pt>
                <c:pt idx="21">
                  <c:v>9.9912757666398004</c:v>
                </c:pt>
                <c:pt idx="22">
                  <c:v>9.9639928934122608</c:v>
                </c:pt>
                <c:pt idx="23">
                  <c:v>9.9393161239237227</c:v>
                </c:pt>
                <c:pt idx="24">
                  <c:v>9.9170155078442761</c:v>
                </c:pt>
                <c:pt idx="25">
                  <c:v>9.8968873748817128</c:v>
                </c:pt>
                <c:pt idx="26">
                  <c:v>9.8787506847762927</c:v>
                </c:pt>
                <c:pt idx="27">
                  <c:v>9.8624439691882468</c:v>
                </c:pt>
                <c:pt idx="28">
                  <c:v>9.8478227564451508</c:v>
                </c:pt>
                <c:pt idx="29">
                  <c:v>9.8347573924820093</c:v>
                </c:pt>
                <c:pt idx="30">
                  <c:v>9.8231311886403248</c:v>
                </c:pt>
                <c:pt idx="31">
                  <c:v>9.8128388405209677</c:v>
                </c:pt>
                <c:pt idx="32">
                  <c:v>9.8037850727151987</c:v>
                </c:pt>
                <c:pt idx="33">
                  <c:v>9.795883472643002</c:v>
                </c:pt>
                <c:pt idx="34">
                  <c:v>9.7890554834134491</c:v>
                </c:pt>
                <c:pt idx="35">
                  <c:v>9.7832295309703667</c:v>
                </c:pt>
                <c:pt idx="36">
                  <c:v>9.7783402650885485</c:v>
                </c:pt>
                <c:pt idx="37">
                  <c:v>9.7743278972640848</c:v>
                </c:pt>
                <c:pt idx="38">
                  <c:v>9.7711376213683909</c:v>
                </c:pt>
                <c:pt idx="39">
                  <c:v>9.7687191052425622</c:v>
                </c:pt>
                <c:pt idx="40">
                  <c:v>9.7670260433004064</c:v>
                </c:pt>
                <c:pt idx="41">
                  <c:v>9.7660157617664147</c:v>
                </c:pt>
                <c:pt idx="42">
                  <c:v>9.7656488694631918</c:v>
                </c:pt>
                <c:pt idx="43">
                  <c:v>9.7658889481323943</c:v>
                </c:pt>
                <c:pt idx="44">
                  <c:v>9.7667022771644394</c:v>
                </c:pt>
                <c:pt idx="45">
                  <c:v>9.7680575883577205</c:v>
                </c:pt>
                <c:pt idx="46">
                  <c:v>9.7699258469535977</c:v>
                </c:pt>
                <c:pt idx="47">
                  <c:v>9.7722800557203584</c:v>
                </c:pt>
                <c:pt idx="48">
                  <c:v>9.7750950793043341</c:v>
                </c:pt>
                <c:pt idx="49">
                  <c:v>9.7783474864436322</c:v>
                </c:pt>
                <c:pt idx="50">
                  <c:v>9.782015407960488</c:v>
                </c:pt>
                <c:pt idx="51">
                  <c:v>9.7860784087215791</c:v>
                </c:pt>
                <c:pt idx="52">
                  <c:v>9.790517371989278</c:v>
                </c:pt>
                <c:pt idx="53">
                  <c:v>9.7953143947870842</c:v>
                </c:pt>
                <c:pt idx="54">
                  <c:v>9.8004526930745204</c:v>
                </c:pt>
                <c:pt idx="55">
                  <c:v>9.8059165156751433</c:v>
                </c:pt>
                <c:pt idx="56">
                  <c:v>9.8116910660292636</c:v>
                </c:pt>
                <c:pt idx="57">
                  <c:v>9.8177624309538878</c:v>
                </c:pt>
                <c:pt idx="58">
                  <c:v>9.8241175156885525</c:v>
                </c:pt>
                <c:pt idx="59">
                  <c:v>9.8307439845893434</c:v>
                </c:pt>
                <c:pt idx="60">
                  <c:v>9.8376302069062831</c:v>
                </c:pt>
                <c:pt idx="61">
                  <c:v>9.844765207142915</c:v>
                </c:pt>
                <c:pt idx="62">
                  <c:v>9.8521386195525853</c:v>
                </c:pt>
                <c:pt idx="63">
                  <c:v>9.8597406463747586</c:v>
                </c:pt>
                <c:pt idx="64">
                  <c:v>9.8675620194575746</c:v>
                </c:pt>
                <c:pt idx="65">
                  <c:v>9.8755939649506104</c:v>
                </c:pt>
                <c:pt idx="66">
                  <c:v>9.8838281707850388</c:v>
                </c:pt>
                <c:pt idx="67">
                  <c:v>9.8922567566878215</c:v>
                </c:pt>
                <c:pt idx="68">
                  <c:v>9.9008722465024803</c:v>
                </c:pt>
                <c:pt idx="69">
                  <c:v>9.9096675426121106</c:v>
                </c:pt>
                <c:pt idx="70">
                  <c:v>9.9186359022806521</c:v>
                </c:pt>
                <c:pt idx="71">
                  <c:v>9.9277709157466596</c:v>
                </c:pt>
                <c:pt idx="72">
                  <c:v>9.9370664859199849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9C-4669-8DCB-F118B01CAA4E}"/>
            </c:ext>
          </c:extLst>
        </c:ser>
        <c:ser>
          <c:idx val="1"/>
          <c:order val="1"/>
          <c:tx>
            <c:strRef>
              <c:f>Weight_Norm_Constraint!$C$1</c:f>
              <c:strCache>
                <c:ptCount val="1"/>
                <c:pt idx="0">
                  <c:v>Serivce Celling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Weight_Norm_Constraint!$A$2:$A$74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Weight_Norm_Constraint!$C$2:$C$74</c:f>
              <c:numCache>
                <c:formatCode>General</c:formatCode>
                <c:ptCount val="73"/>
                <c:pt idx="0">
                  <c:v>9.2048487854352743</c:v>
                </c:pt>
                <c:pt idx="1">
                  <c:v>8.6531551451260214</c:v>
                </c:pt>
                <c:pt idx="2">
                  <c:v>8.2052394790418894</c:v>
                </c:pt>
                <c:pt idx="3">
                  <c:v>7.8371530239001608</c:v>
                </c:pt>
                <c:pt idx="4">
                  <c:v>7.5317895202131746</c:v>
                </c:pt>
                <c:pt idx="5">
                  <c:v>7.2766043776899849</c:v>
                </c:pt>
                <c:pt idx="6">
                  <c:v>7.0621891536123789</c:v>
                </c:pt>
                <c:pt idx="7">
                  <c:v>6.881349156489958</c:v>
                </c:pt>
                <c:pt idx="8">
                  <c:v>6.7284885151635265</c:v>
                </c:pt>
                <c:pt idx="9">
                  <c:v>6.5991894366126651</c:v>
                </c:pt>
                <c:pt idx="10">
                  <c:v>6.4899176864210393</c:v>
                </c:pt>
                <c:pt idx="11">
                  <c:v>6.3978122176801842</c:v>
                </c:pt>
                <c:pt idx="12">
                  <c:v>6.3205321738286315</c:v>
                </c:pt>
                <c:pt idx="13">
                  <c:v>6.2561438037938641</c:v>
                </c:pt>
                <c:pt idx="14">
                  <c:v>6.2030356483487843</c:v>
                </c:pt>
                <c:pt idx="15">
                  <c:v>6.1598540817426297</c:v>
                </c:pt>
                <c:pt idx="16">
                  <c:v>6.1254537283401396</c:v>
                </c:pt>
                <c:pt idx="17">
                  <c:v>6.09885889778535</c:v>
                </c:pt>
                <c:pt idx="18">
                  <c:v>6.0792332840588656</c:v>
                </c:pt>
                <c:pt idx="19">
                  <c:v>6.0658559336956888</c:v>
                </c:pt>
                <c:pt idx="20">
                  <c:v>6.0581020203594909</c:v>
                </c:pt>
                <c:pt idx="21">
                  <c:v>6.0554273404670109</c:v>
                </c:pt>
                <c:pt idx="22">
                  <c:v>6.0573557158829052</c:v>
                </c:pt>
                <c:pt idx="23">
                  <c:v>6.0634686870336827</c:v>
                </c:pt>
                <c:pt idx="24">
                  <c:v>6.0733970248839144</c:v>
                </c:pt>
                <c:pt idx="25">
                  <c:v>6.0868136980022172</c:v>
                </c:pt>
                <c:pt idx="26">
                  <c:v>6.1034280117829178</c:v>
                </c:pt>
                <c:pt idx="27">
                  <c:v>6.1229806980642021</c:v>
                </c:pt>
                <c:pt idx="28">
                  <c:v>6.1452397800697067</c:v>
                </c:pt>
                <c:pt idx="29">
                  <c:v>6.1699970735129535</c:v>
                </c:pt>
                <c:pt idx="30">
                  <c:v>6.1970652125361108</c:v>
                </c:pt>
                <c:pt idx="31">
                  <c:v>6.2262751108772383</c:v>
                </c:pt>
                <c:pt idx="32">
                  <c:v>6.2574737857279041</c:v>
                </c:pt>
                <c:pt idx="33">
                  <c:v>6.2905224852386077</c:v>
                </c:pt>
                <c:pt idx="34">
                  <c:v>6.325295071364347</c:v>
                </c:pt>
                <c:pt idx="35">
                  <c:v>6.3616766183307858</c:v>
                </c:pt>
                <c:pt idx="36">
                  <c:v>6.3995621939091825</c:v>
                </c:pt>
                <c:pt idx="37">
                  <c:v>6.4388557962732422</c:v>
                </c:pt>
                <c:pt idx="38">
                  <c:v>6.4794694237488608</c:v>
                </c:pt>
                <c:pt idx="39">
                  <c:v>6.5213222584720674</c:v>
                </c:pt>
                <c:pt idx="40">
                  <c:v>6.5643399480080031</c:v>
                </c:pt>
                <c:pt idx="41">
                  <c:v>6.608453971485333</c:v>
                </c:pt>
                <c:pt idx="42">
                  <c:v>6.6536010788689763</c:v>
                </c:pt>
                <c:pt idx="43">
                  <c:v>6.6997227937114063</c:v>
                </c:pt>
                <c:pt idx="44">
                  <c:v>6.7467649711538016</c:v>
                </c:pt>
                <c:pt idx="45">
                  <c:v>6.7946774041452542</c:v>
                </c:pt>
                <c:pt idx="46">
                  <c:v>6.8434134718527782</c:v>
                </c:pt>
                <c:pt idx="47">
                  <c:v>6.8929298250807927</c:v>
                </c:pt>
                <c:pt idx="48">
                  <c:v>6.9431861042334102</c:v>
                </c:pt>
                <c:pt idx="49">
                  <c:v>6.9941446859585295</c:v>
                </c:pt>
                <c:pt idx="50">
                  <c:v>7.0457704551275286</c:v>
                </c:pt>
                <c:pt idx="51">
                  <c:v>7.0980305992431658</c:v>
                </c:pt>
                <c:pt idx="52">
                  <c:v>7.1508944227435087</c:v>
                </c:pt>
                <c:pt idx="53">
                  <c:v>7.2043331789911882</c:v>
                </c:pt>
                <c:pt idx="54">
                  <c:v>7.258319918013675</c:v>
                </c:pt>
                <c:pt idx="55">
                  <c:v>7.3128293482982842</c:v>
                </c:pt>
                <c:pt idx="56">
                  <c:v>7.3678377111512825</c:v>
                </c:pt>
                <c:pt idx="57">
                  <c:v>7.4233226663084153</c:v>
                </c:pt>
                <c:pt idx="58">
                  <c:v>7.479263187638618</c:v>
                </c:pt>
                <c:pt idx="59">
                  <c:v>7.5356394679169716</c:v>
                </c:pt>
                <c:pt idx="60">
                  <c:v>7.5924328317599876</c:v>
                </c:pt>
                <c:pt idx="61">
                  <c:v>7.6496256559184532</c:v>
                </c:pt>
                <c:pt idx="62">
                  <c:v>7.7072012962125571</c:v>
                </c:pt>
                <c:pt idx="63">
                  <c:v>7.7651440204723423</c:v>
                </c:pt>
                <c:pt idx="64">
                  <c:v>7.8234389469154184</c:v>
                </c:pt>
                <c:pt idx="65">
                  <c:v>7.8820719874544505</c:v>
                </c:pt>
                <c:pt idx="66">
                  <c:v>7.9410297954803895</c:v>
                </c:pt>
                <c:pt idx="67">
                  <c:v>8.0002997177145243</c:v>
                </c:pt>
                <c:pt idx="68">
                  <c:v>8.059869749764232</c:v>
                </c:pt>
                <c:pt idx="69">
                  <c:v>8.1197284950542379</c:v>
                </c:pt>
                <c:pt idx="70">
                  <c:v>8.1798651268380294</c:v>
                </c:pt>
                <c:pt idx="71">
                  <c:v>8.2402693530232476</c:v>
                </c:pt>
                <c:pt idx="72">
                  <c:v>8.3009313835708127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9C-4669-8DCB-F118B01CAA4E}"/>
            </c:ext>
          </c:extLst>
        </c:ser>
        <c:ser>
          <c:idx val="2"/>
          <c:order val="2"/>
          <c:tx>
            <c:strRef>
              <c:f>Weight_Norm_Constraint!$D$1</c:f>
              <c:strCache>
                <c:ptCount val="1"/>
                <c:pt idx="0">
                  <c:v>18k Cruise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Weight_Norm_Constraint!$A$2:$A$74</c:f>
              <c:numCache>
                <c:formatCode>General</c:formatCode>
                <c:ptCount val="73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</c:numCache>
            </c:numRef>
          </c:xVal>
          <c:yVal>
            <c:numRef>
              <c:f>Weight_Norm_Constraint!$D$2:$D$74</c:f>
              <c:numCache>
                <c:formatCode>General</c:formatCode>
                <c:ptCount val="73"/>
                <c:pt idx="0">
                  <c:v>23.3412347329262</c:v>
                </c:pt>
                <c:pt idx="1">
                  <c:v>21.270044227424929</c:v>
                </c:pt>
                <c:pt idx="2">
                  <c:v>19.548481815478734</c:v>
                </c:pt>
                <c:pt idx="3">
                  <c:v>18.095864090882589</c:v>
                </c:pt>
                <c:pt idx="4">
                  <c:v>16.854560049204345</c:v>
                </c:pt>
                <c:pt idx="5">
                  <c:v>15.782306953860424</c:v>
                </c:pt>
                <c:pt idx="6">
                  <c:v>14.84740775241314</c:v>
                </c:pt>
                <c:pt idx="7">
                  <c:v>14.025623522410136</c:v>
                </c:pt>
                <c:pt idx="8">
                  <c:v>13.298101768610708</c:v>
                </c:pt>
                <c:pt idx="9">
                  <c:v>12.649958942140604</c:v>
                </c:pt>
                <c:pt idx="10">
                  <c:v>12.069288203900427</c:v>
                </c:pt>
                <c:pt idx="11">
                  <c:v>11.546450684143045</c:v>
                </c:pt>
                <c:pt idx="12">
                  <c:v>11.073560034893527</c:v>
                </c:pt>
                <c:pt idx="13">
                  <c:v>10.644101446955199</c:v>
                </c:pt>
                <c:pt idx="14">
                  <c:v>10.252645912664162</c:v>
                </c:pt>
                <c:pt idx="15">
                  <c:v>9.8946330655827381</c:v>
                </c:pt>
                <c:pt idx="16">
                  <c:v>9.5662041341098227</c:v>
                </c:pt>
                <c:pt idx="17">
                  <c:v>9.2640720165111343</c:v>
                </c:pt>
                <c:pt idx="18">
                  <c:v>8.9854191970144335</c:v>
                </c:pt>
                <c:pt idx="19">
                  <c:v>8.7278167827126207</c:v>
                </c:pt>
                <c:pt idx="20">
                  <c:v>8.4891597330862059</c:v>
                </c:pt>
                <c:pt idx="21">
                  <c:v>8.267614625747246</c:v>
                </c:pt>
                <c:pt idx="22">
                  <c:v>8.0615772161062953</c:v>
                </c:pt>
                <c:pt idx="23">
                  <c:v>7.86963771346353</c:v>
                </c:pt>
                <c:pt idx="24">
                  <c:v>7.6905521848485252</c:v>
                </c:pt>
                <c:pt idx="25">
                  <c:v>7.5232188610589015</c:v>
                </c:pt>
                <c:pt idx="26">
                  <c:v>7.3666583916925443</c:v>
                </c:pt>
                <c:pt idx="27">
                  <c:v>7.2199973020664849</c:v>
                </c:pt>
                <c:pt idx="28">
                  <c:v>7.0824540622012258</c:v>
                </c:pt>
                <c:pt idx="29">
                  <c:v>6.9533272990382455</c:v>
                </c:pt>
                <c:pt idx="30">
                  <c:v>6.8319857768248697</c:v>
                </c:pt>
                <c:pt idx="31">
                  <c:v>6.7178598437843018</c:v>
                </c:pt>
                <c:pt idx="32">
                  <c:v>6.6104341006899112</c:v>
                </c:pt>
                <c:pt idx="33">
                  <c:v>6.509241092429173</c:v>
                </c:pt>
                <c:pt idx="34">
                  <c:v>6.4138558598088853</c:v>
                </c:pt>
                <c:pt idx="35">
                  <c:v>6.3238912177863496</c:v>
                </c:pt>
                <c:pt idx="36">
                  <c:v>6.2389936495834544</c:v>
                </c:pt>
                <c:pt idx="37">
                  <c:v>6.1588397249563904</c:v>
                </c:pt>
                <c:pt idx="38">
                  <c:v>6.0831329661816689</c:v>
                </c:pt>
                <c:pt idx="39">
                  <c:v>6.0116010977989411</c:v>
                </c:pt>
                <c:pt idx="40">
                  <c:v>5.9439936263846898</c:v>
                </c:pt>
                <c:pt idx="41">
                  <c:v>5.8800797050584146</c:v>
                </c:pt>
                <c:pt idx="42">
                  <c:v>5.8196462443919641</c:v>
                </c:pt>
                <c:pt idx="43">
                  <c:v>5.7624962371781789</c:v>
                </c:pt>
                <c:pt idx="44">
                  <c:v>5.7084472693363528</c:v>
                </c:pt>
                <c:pt idx="45">
                  <c:v>5.6573301932643822</c:v>
                </c:pt>
                <c:pt idx="46">
                  <c:v>5.6089879433317353</c:v>
                </c:pt>
                <c:pt idx="47">
                  <c:v>5.5632744760573996</c:v>
                </c:pt>
                <c:pt idx="48">
                  <c:v>5.5200538199245619</c:v>
                </c:pt>
                <c:pt idx="49">
                  <c:v>5.4791992218243353</c:v>
                </c:pt>
                <c:pt idx="50">
                  <c:v>5.4405923788550874</c:v>
                </c:pt>
                <c:pt idx="51">
                  <c:v>5.4041227456825087</c:v>
                </c:pt>
                <c:pt idx="52">
                  <c:v>5.3696869089293404</c:v>
                </c:pt>
                <c:pt idx="53">
                  <c:v>5.3371880211470399</c:v>
                </c:pt>
                <c:pt idx="54">
                  <c:v>5.3065352878525971</c:v>
                </c:pt>
                <c:pt idx="55">
                  <c:v>5.2776435019158034</c:v>
                </c:pt>
                <c:pt idx="56">
                  <c:v>5.2504326202749478</c:v>
                </c:pt>
                <c:pt idx="57">
                  <c:v>5.2248273785585706</c:v>
                </c:pt>
                <c:pt idx="58">
                  <c:v>5.2007569397111784</c:v>
                </c:pt>
                <c:pt idx="59">
                  <c:v>5.178154573173253</c:v>
                </c:pt>
                <c:pt idx="60">
                  <c:v>5.1569573615601003</c:v>
                </c:pt>
                <c:pt idx="61">
                  <c:v>5.1371059321284207</c:v>
                </c:pt>
                <c:pt idx="62">
                  <c:v>5.1185442106206533</c:v>
                </c:pt>
                <c:pt idx="63">
                  <c:v>5.1012191953412955</c:v>
                </c:pt>
                <c:pt idx="64">
                  <c:v>5.0850807495513566</c:v>
                </c:pt>
                <c:pt idx="65">
                  <c:v>5.0700814104712606</c:v>
                </c:pt>
                <c:pt idx="66">
                  <c:v>5.0561762133624599</c:v>
                </c:pt>
                <c:pt idx="67">
                  <c:v>5.043322529316983</c:v>
                </c:pt>
                <c:pt idx="68">
                  <c:v>5.0314799155247023</c:v>
                </c:pt>
                <c:pt idx="69">
                  <c:v>5.020609976912711</c:v>
                </c:pt>
                <c:pt idx="70">
                  <c:v>5.0106762381617482</c:v>
                </c:pt>
                <c:pt idx="71">
                  <c:v>5.0016440252028875</c:v>
                </c:pt>
                <c:pt idx="72">
                  <c:v>4.9934803553851967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9C-4669-8DCB-F118B01CAA4E}"/>
            </c:ext>
          </c:extLst>
        </c:ser>
        <c:ser>
          <c:idx val="3"/>
          <c:order val="3"/>
          <c:tx>
            <c:v>Stall Limt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518.70000000000005</c:v>
              </c:pt>
              <c:pt idx="1">
                <c:v>518.70000000000005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89C-4669-8DCB-F118B01C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756143"/>
        <c:axId val="354741263"/>
      </c:scatterChart>
      <c:valAx>
        <c:axId val="354756143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41263"/>
        <c:crosses val="autoZero"/>
        <c:crossBetween val="midCat"/>
      </c:valAx>
      <c:valAx>
        <c:axId val="3547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5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10</xdr:row>
      <xdr:rowOff>47625</xdr:rowOff>
    </xdr:from>
    <xdr:ext cx="3990975" cy="781240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819AAABE-C749-E5F8-D051-5950953466E7}"/>
            </a:ext>
          </a:extLst>
        </xdr:cNvPr>
        <xdr:cNvSpPr txBox="1"/>
      </xdr:nvSpPr>
      <xdr:spPr>
        <a:xfrm>
          <a:off x="6610350" y="4619625"/>
          <a:ext cx="3990975" cy="78124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r-TR"/>
            <a:t>Burada </a:t>
          </a:r>
          <a:r>
            <a:rPr lang="tr-TR" b="1"/>
            <a:t>KCAS = knot gibi dönüştürüyoruz</a:t>
          </a:r>
          <a:r>
            <a:rPr lang="tr-TR"/>
            <a:t>, çünkü düşük Mach’ta ve ilk konsept hesapta compressibility correction küçük kabul edilecek. Ama cruise altitude’da endurance/range hesabında hız gerekiyorsa daha sonra </a:t>
          </a:r>
          <a:r>
            <a:rPr lang="tr-TR" b="1"/>
            <a:t>TAS’a çevirmemiz</a:t>
          </a:r>
          <a:r>
            <a:rPr lang="tr-TR"/>
            <a:t> gerekecek.</a:t>
          </a:r>
          <a:endParaRPr lang="tr-T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6324600</xdr:colOff>
      <xdr:row>14</xdr:row>
      <xdr:rowOff>219075</xdr:rowOff>
    </xdr:from>
    <xdr:ext cx="2219325" cy="1116168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5C6FB44F-83F9-A4BA-045E-E4A91534F6D1}"/>
            </a:ext>
          </a:extLst>
        </xdr:cNvPr>
        <xdr:cNvSpPr txBox="1"/>
      </xdr:nvSpPr>
      <xdr:spPr>
        <a:xfrm>
          <a:off x="60274200" y="4219575"/>
          <a:ext cx="2219325" cy="1116168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/>
            <a:t>Anlamı:</a:t>
          </a:r>
        </a:p>
        <a:p>
          <a:r>
            <a:rPr lang="tr-TR"/>
            <a:t>Weight status </a:t>
          </a: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OK</a:t>
          </a:r>
          <a:r>
            <a:rPr lang="tr-TR"/>
            <a:t> ise: geçici kullanılabilir. </a:t>
          </a:r>
        </a:p>
        <a:p>
          <a:r>
            <a:rPr lang="tr-TR"/>
            <a:t>Weight status </a:t>
          </a: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CHECK</a:t>
          </a:r>
          <a:r>
            <a:rPr lang="tr-TR"/>
            <a:t> ise: kaynak düzeltmesi şart.</a:t>
          </a:r>
        </a:p>
        <a:p>
          <a:endParaRPr lang="tr-TR" sz="1100"/>
        </a:p>
      </xdr:txBody>
    </xdr:sp>
    <xdr:clientData/>
  </xdr:oneCellAnchor>
  <xdr:oneCellAnchor>
    <xdr:from>
      <xdr:col>44</xdr:col>
      <xdr:colOff>19050</xdr:colOff>
      <xdr:row>14</xdr:row>
      <xdr:rowOff>219075</xdr:rowOff>
    </xdr:from>
    <xdr:ext cx="2190750" cy="1125693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1DCFDD1D-0ED6-5FCF-FC73-9034F7B24A83}"/>
            </a:ext>
          </a:extLst>
        </xdr:cNvPr>
        <xdr:cNvSpPr txBox="1"/>
      </xdr:nvSpPr>
      <xdr:spPr>
        <a:xfrm>
          <a:off x="62484000" y="4219575"/>
          <a:ext cx="2190750" cy="1125693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r-TR"/>
            <a:t>Weight Error %</a:t>
          </a:r>
        </a:p>
        <a:p>
          <a:r>
            <a:rPr lang="tr-TR"/>
            <a:t>Priority</a:t>
          </a:r>
        </a:p>
        <a:p>
          <a:r>
            <a:rPr lang="tr-TR"/>
            <a:t>%5’ten küçük LOW</a:t>
          </a:r>
        </a:p>
        <a:p>
          <a:r>
            <a:rPr lang="tr-TR"/>
            <a:t>%5–15 arası MEDIUM</a:t>
          </a:r>
        </a:p>
        <a:p>
          <a:r>
            <a:rPr lang="tr-TR"/>
            <a:t>%15’ten büyük HIGH</a:t>
          </a:r>
        </a:p>
        <a:p>
          <a:endParaRPr lang="tr-T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21</xdr:row>
      <xdr:rowOff>66675</xdr:rowOff>
    </xdr:from>
    <xdr:ext cx="5999912" cy="15764957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B02B0D2E-4F6A-E23D-E85C-C81380CAF2FA}"/>
            </a:ext>
          </a:extLst>
        </xdr:cNvPr>
        <xdr:cNvSpPr txBox="1"/>
      </xdr:nvSpPr>
      <xdr:spPr>
        <a:xfrm>
          <a:off x="114300" y="4067175"/>
          <a:ext cx="5999912" cy="15764957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1100" b="1"/>
            <a:t>06_LD_and_Speeds sheet calculation notes[ white color</a:t>
          </a:r>
          <a:r>
            <a:rPr lang="tr-TR" sz="1100" b="1" baseline="0"/>
            <a:t>  = calculated]</a:t>
          </a:r>
          <a:endParaRPr lang="tr-TR" sz="1100" b="1"/>
        </a:p>
        <a:p>
          <a:endParaRPr lang="tr-TR" sz="1100"/>
        </a:p>
        <a:p>
          <a:r>
            <a:rPr lang="tr-TR" sz="1100"/>
            <a:t>C2: Aspect ratio, AR, is selected as 20 based on high aspect ratio MALE UAV competitor trend.</a:t>
          </a:r>
        </a:p>
        <a:p>
          <a:endParaRPr lang="tr-TR" sz="1100"/>
        </a:p>
        <a:p>
          <a:r>
            <a:rPr lang="tr-TR" sz="1100"/>
            <a:t>C3: Oswald efficiency factor, e, is assumed as 0.8 for conceptual design.</a:t>
          </a:r>
        </a:p>
        <a:p>
          <a:endParaRPr lang="tr-TR" sz="1100"/>
        </a:p>
        <a:p>
          <a:r>
            <a:rPr lang="tr-TR" sz="1100"/>
            <a:t>C4: Zero-lift drag coefficient, CD0, is assumed as 0.025 for a clean high-aspect-ratio UAV configuration.</a:t>
          </a:r>
        </a:p>
        <a:p>
          <a:endParaRPr lang="tr-TR" sz="1100"/>
        </a:p>
        <a:p>
          <a:r>
            <a:rPr lang="tr-TR" sz="1100"/>
            <a:t>C5: Induced drag factor is calculated using:</a:t>
          </a:r>
        </a:p>
        <a:p>
          <a:r>
            <a:rPr lang="tr-TR" sz="1100"/>
            <a:t>K = 1 / (pi * e * AR)</a:t>
          </a:r>
        </a:p>
        <a:p>
          <a:r>
            <a:rPr lang="tr-TR" sz="1100"/>
            <a:t>Excel formula:</a:t>
          </a:r>
        </a:p>
        <a:p>
          <a:r>
            <a:rPr lang="tr-TR" sz="1100"/>
            <a:t>C5 = 1/(3.14159265*C3*C2)</a:t>
          </a:r>
        </a:p>
        <a:p>
          <a:endParaRPr lang="tr-TR" sz="1100"/>
        </a:p>
        <a:p>
          <a:r>
            <a:rPr lang="tr-TR" sz="1100"/>
            <a:t>C6: Maximum lift-to-drag ratio is calculated using:</a:t>
          </a:r>
        </a:p>
        <a:p>
          <a:r>
            <a:rPr lang="tr-TR" sz="1100"/>
            <a:t>(L/D)max = 1 / (2 * sqrt(CD0 * K))</a:t>
          </a:r>
        </a:p>
        <a:p>
          <a:r>
            <a:rPr lang="tr-TR" sz="1100"/>
            <a:t>Excel formula:</a:t>
          </a:r>
        </a:p>
        <a:p>
          <a:r>
            <a:rPr lang="tr-TR" sz="1100"/>
            <a:t>C6 = 1/(2*(C4*C5)^0.5)</a:t>
          </a:r>
        </a:p>
        <a:p>
          <a:endParaRPr lang="tr-TR" sz="1100"/>
        </a:p>
        <a:p>
          <a:r>
            <a:rPr lang="tr-TR" sz="1100"/>
            <a:t>C7: For range sizing, the aircraft is assumed to fly at maximum aerodynamic efficiency:</a:t>
          </a:r>
        </a:p>
        <a:p>
          <a:r>
            <a:rPr lang="tr-TR" sz="1100"/>
            <a:t>(L/D)range = (L/D)max</a:t>
          </a:r>
        </a:p>
        <a:p>
          <a:r>
            <a:rPr lang="tr-TR" sz="1100"/>
            <a:t>Excel formula:</a:t>
          </a:r>
        </a:p>
        <a:p>
          <a:r>
            <a:rPr lang="tr-TR" sz="1100"/>
            <a:t>C7 = C6</a:t>
          </a:r>
        </a:p>
        <a:p>
          <a:endParaRPr lang="tr-TR" sz="1100"/>
        </a:p>
        <a:p>
          <a:r>
            <a:rPr lang="tr-TR" sz="1100"/>
            <a:t>C8: For endurance sizing of a propeller-driven aircraft, the endurance aerodynamic condition is taken as:</a:t>
          </a:r>
        </a:p>
        <a:p>
          <a:r>
            <a:rPr lang="tr-TR" sz="1100"/>
            <a:t>(L/D)endurance = 0.866 * (L/D)max</a:t>
          </a:r>
        </a:p>
        <a:p>
          <a:r>
            <a:rPr lang="tr-TR" sz="1100"/>
            <a:t>Excel formula:</a:t>
          </a:r>
        </a:p>
        <a:p>
          <a:r>
            <a:rPr lang="tr-TR" sz="1100"/>
            <a:t>C8 = 0.866*C6</a:t>
          </a:r>
        </a:p>
        <a:p>
          <a:endParaRPr lang="tr-TR" sz="1100"/>
        </a:p>
        <a:p>
          <a:r>
            <a:rPr lang="tr-TR" sz="1100"/>
            <a:t>C9: Sea level density is taken as:</a:t>
          </a:r>
        </a:p>
        <a:p>
          <a:r>
            <a:rPr lang="tr-TR" sz="1100"/>
            <a:t>rho0 = 1.225 kg/m3</a:t>
          </a:r>
        </a:p>
        <a:p>
          <a:endParaRPr lang="tr-TR" sz="1100"/>
        </a:p>
        <a:p>
          <a:r>
            <a:rPr lang="tr-TR" sz="1100"/>
            <a:t>C10: Cruise density is taken from the atmosphere sheet at 18,000 ft:</a:t>
          </a:r>
        </a:p>
        <a:p>
          <a:r>
            <a:rPr lang="tr-TR" sz="1100"/>
            <a:t>rho_cruise ≈ 0.698 kg/m3</a:t>
          </a:r>
        </a:p>
        <a:p>
          <a:endParaRPr lang="tr-TR" sz="1100"/>
        </a:p>
        <a:p>
          <a:r>
            <a:rPr lang="tr-TR" sz="1100"/>
            <a:t>C11: Cruise density ratio is calculated using:</a:t>
          </a:r>
        </a:p>
        <a:p>
          <a:r>
            <a:rPr lang="tr-TR" sz="1100"/>
            <a:t>sigma_cruise = rho_cruise / rho0</a:t>
          </a:r>
        </a:p>
        <a:p>
          <a:r>
            <a:rPr lang="tr-TR" sz="1100"/>
            <a:t>Excel formula:</a:t>
          </a:r>
        </a:p>
        <a:p>
          <a:r>
            <a:rPr lang="tr-TR" sz="1100"/>
            <a:t>C11 = C10/C9</a:t>
          </a:r>
        </a:p>
        <a:p>
          <a:endParaRPr lang="tr-TR" sz="1100"/>
        </a:p>
        <a:p>
          <a:r>
            <a:rPr lang="tr-TR" sz="1100"/>
            <a:t>C12: RFP cruise speed is given as:</a:t>
          </a:r>
        </a:p>
        <a:p>
          <a:r>
            <a:rPr lang="tr-TR" sz="1100"/>
            <a:t>VC_CAS = 70 KCAS</a:t>
          </a:r>
        </a:p>
        <a:p>
          <a:r>
            <a:rPr lang="tr-TR" sz="1100"/>
            <a:t>This speed is treated as Carson speed in CAS for first conceptual sizing.</a:t>
          </a:r>
        </a:p>
        <a:p>
          <a:endParaRPr lang="tr-TR" sz="1100"/>
        </a:p>
        <a:p>
          <a:r>
            <a:rPr lang="tr-TR" sz="1100"/>
            <a:t>C13: Cruise speed is converted from knots to m/s:</a:t>
          </a:r>
        </a:p>
        <a:p>
          <a:r>
            <a:rPr lang="tr-TR" sz="1100"/>
            <a:t>VC_CAS(m/s) = VC_CAS(kt) * 0.514444</a:t>
          </a:r>
        </a:p>
        <a:p>
          <a:r>
            <a:rPr lang="tr-TR" sz="1100"/>
            <a:t>Excel formula:</a:t>
          </a:r>
        </a:p>
        <a:p>
          <a:r>
            <a:rPr lang="tr-TR" sz="1100"/>
            <a:t>C13 = C12*0.514444</a:t>
          </a:r>
        </a:p>
        <a:p>
          <a:endParaRPr lang="tr-TR" sz="1100"/>
        </a:p>
        <a:p>
          <a:r>
            <a:rPr lang="tr-TR" sz="1100"/>
            <a:t>C14: Cruise CAS is converted to TAS at cruise altitude using the low-Mach approximation:</a:t>
          </a:r>
        </a:p>
        <a:p>
          <a:r>
            <a:rPr lang="tr-TR" sz="1100"/>
            <a:t>VC_TAS = VC_CAS / sqrt(sigma_cruise)</a:t>
          </a:r>
        </a:p>
        <a:p>
          <a:r>
            <a:rPr lang="tr-TR" sz="1100"/>
            <a:t>Excel formula:</a:t>
          </a:r>
        </a:p>
        <a:p>
          <a:r>
            <a:rPr lang="tr-TR" sz="1100"/>
            <a:t>C14 = C13/(C11^0.5)</a:t>
          </a:r>
        </a:p>
        <a:p>
          <a:endParaRPr lang="tr-TR" sz="1100"/>
        </a:p>
        <a:p>
          <a:r>
            <a:rPr lang="tr-TR" sz="1100"/>
            <a:t>C15: Cruise TAS is converted from m/s to knots:</a:t>
          </a:r>
        </a:p>
        <a:p>
          <a:r>
            <a:rPr lang="tr-TR" sz="1100"/>
            <a:t>VC_TAS(kt) = VC_TAS(m/s) / 0.514444</a:t>
          </a:r>
        </a:p>
        <a:p>
          <a:r>
            <a:rPr lang="tr-TR" sz="1100"/>
            <a:t>Excel formula:</a:t>
          </a:r>
        </a:p>
        <a:p>
          <a:r>
            <a:rPr lang="tr-TR" sz="1100"/>
            <a:t>C15 = C14/0.514444</a:t>
          </a:r>
        </a:p>
        <a:p>
          <a:endParaRPr lang="tr-TR" sz="1100"/>
        </a:p>
        <a:p>
          <a:r>
            <a:rPr lang="tr-TR" sz="1100"/>
            <a:t>C16: Best range speed is calculated from Carson speed:</a:t>
          </a:r>
        </a:p>
        <a:p>
          <a:r>
            <a:rPr lang="tr-TR" sz="1100"/>
            <a:t>VC = 3^(1/4) * VR</a:t>
          </a:r>
        </a:p>
        <a:p>
          <a:r>
            <a:rPr lang="tr-TR" sz="1100"/>
            <a:t>Therefore:</a:t>
          </a:r>
        </a:p>
        <a:p>
          <a:r>
            <a:rPr lang="tr-TR" sz="1100"/>
            <a:t>VR = VC / 3^(1/4)</a:t>
          </a:r>
        </a:p>
        <a:p>
          <a:r>
            <a:rPr lang="tr-TR" sz="1100"/>
            <a:t>Excel formula:</a:t>
          </a:r>
        </a:p>
        <a:p>
          <a:r>
            <a:rPr lang="tr-TR" sz="1100"/>
            <a:t>C16 = C12/(3^(1/4))</a:t>
          </a:r>
        </a:p>
        <a:p>
          <a:endParaRPr lang="tr-TR" sz="1100"/>
        </a:p>
        <a:p>
          <a:r>
            <a:rPr lang="tr-TR" sz="1100"/>
            <a:t>C17: Best endurance speed is calculated from best range speed:</a:t>
          </a:r>
        </a:p>
        <a:p>
          <a:r>
            <a:rPr lang="tr-TR" sz="1100"/>
            <a:t>VE = VR / 3^(1/4)</a:t>
          </a:r>
        </a:p>
        <a:p>
          <a:r>
            <a:rPr lang="tr-TR" sz="1100"/>
            <a:t>Excel formula:</a:t>
          </a:r>
        </a:p>
        <a:p>
          <a:r>
            <a:rPr lang="tr-TR" sz="1100"/>
            <a:t>C17 = C16/(3^(1/4))</a:t>
          </a:r>
        </a:p>
        <a:p>
          <a:r>
            <a:rPr lang="tr-TR" sz="1100"/>
            <a:t>Equivalent formula:</a:t>
          </a:r>
        </a:p>
        <a:p>
          <a:r>
            <a:rPr lang="tr-TR" sz="1100"/>
            <a:t>C17 = C12/(3^0.5)</a:t>
          </a:r>
        </a:p>
        <a:p>
          <a:endParaRPr lang="tr-TR" sz="1100"/>
        </a:p>
        <a:p>
          <a:r>
            <a:rPr lang="tr-TR" sz="1100"/>
            <a:t>C18: Best range speed in CAS is converted to TAS at cruise altitude:</a:t>
          </a:r>
        </a:p>
        <a:p>
          <a:r>
            <a:rPr lang="tr-TR" sz="1100"/>
            <a:t>VR_TAS = VR_CAS * 0.514444 / sqrt(sigma_cruise)</a:t>
          </a:r>
        </a:p>
        <a:p>
          <a:r>
            <a:rPr lang="tr-TR" sz="1100"/>
            <a:t>Excel formula:</a:t>
          </a:r>
        </a:p>
        <a:p>
          <a:r>
            <a:rPr lang="tr-TR" sz="1100"/>
            <a:t>C18 = C16*0.514444/(C11^0.5)</a:t>
          </a:r>
        </a:p>
        <a:p>
          <a:endParaRPr lang="tr-TR" sz="1100"/>
        </a:p>
        <a:p>
          <a:r>
            <a:rPr lang="tr-TR" sz="1100"/>
            <a:t>C19: Best endurance speed in CAS is converted to TAS at cruise altitude:</a:t>
          </a:r>
        </a:p>
        <a:p>
          <a:r>
            <a:rPr lang="tr-TR" sz="1100"/>
            <a:t>VE_TAS = VE_CAS * 0.514444 / sqrt(sigma_cruise)</a:t>
          </a:r>
        </a:p>
        <a:p>
          <a:r>
            <a:rPr lang="tr-TR" sz="1100"/>
            <a:t>Excel formula:</a:t>
          </a:r>
        </a:p>
        <a:p>
          <a:r>
            <a:rPr lang="tr-TR" sz="1100"/>
            <a:t>C19 = C17*0.514444/(C11^0.5)</a:t>
          </a:r>
        </a:p>
        <a:p>
          <a:endParaRPr lang="tr-TR" sz="1100"/>
        </a:p>
        <a:p>
          <a:r>
            <a:rPr lang="tr-TR" sz="1100"/>
            <a:t>C20: Best range TAS is converted from m/s to knots:</a:t>
          </a:r>
        </a:p>
        <a:p>
          <a:r>
            <a:rPr lang="tr-TR" sz="1100"/>
            <a:t>VR_TAS(kt) = VR_TAS(m/s) / 0.514444</a:t>
          </a:r>
        </a:p>
        <a:p>
          <a:r>
            <a:rPr lang="tr-TR" sz="1100"/>
            <a:t>Excel formula:</a:t>
          </a:r>
        </a:p>
        <a:p>
          <a:r>
            <a:rPr lang="tr-TR" sz="1100"/>
            <a:t>C20 = C18/0.514444</a:t>
          </a:r>
        </a:p>
        <a:p>
          <a:endParaRPr lang="tr-TR" sz="1100"/>
        </a:p>
        <a:p>
          <a:r>
            <a:rPr lang="tr-TR" sz="1100"/>
            <a:t>C21: Best endurance TAS is converted from m/s to knots:</a:t>
          </a:r>
        </a:p>
        <a:p>
          <a:r>
            <a:rPr lang="tr-TR" sz="1100"/>
            <a:t>VE_TAS(kt) = VE_TAS(m/s) / 0.514444</a:t>
          </a:r>
        </a:p>
        <a:p>
          <a:r>
            <a:rPr lang="tr-TR" sz="1100"/>
            <a:t>Excel formula:</a:t>
          </a:r>
        </a:p>
        <a:p>
          <a:r>
            <a:rPr lang="tr-TR" sz="1100"/>
            <a:t>C21 = C19/0.514444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29</xdr:row>
      <xdr:rowOff>152400</xdr:rowOff>
    </xdr:from>
    <xdr:ext cx="4244111" cy="264560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432A0E47-DEF9-8137-751B-F916C12D68AC}"/>
            </a:ext>
          </a:extLst>
        </xdr:cNvPr>
        <xdr:cNvSpPr txBox="1"/>
      </xdr:nvSpPr>
      <xdr:spPr>
        <a:xfrm>
          <a:off x="6896100" y="5676900"/>
          <a:ext cx="4244111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1100"/>
            <a:t>Bu</a:t>
          </a:r>
          <a:r>
            <a:rPr lang="tr-TR" sz="1100" baseline="0"/>
            <a:t> satırdaki denklemleri hangi satırdaki farkı bulmak istiyorsak yazabiliriz</a:t>
          </a:r>
          <a:endParaRPr lang="tr-TR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0</xdr:row>
      <xdr:rowOff>9525</xdr:rowOff>
    </xdr:from>
    <xdr:to>
      <xdr:col>19</xdr:col>
      <xdr:colOff>247649</xdr:colOff>
      <xdr:row>23</xdr:row>
      <xdr:rowOff>19051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602D462A-ACCF-5B66-7E36-725F35947B03}"/>
            </a:ext>
          </a:extLst>
        </xdr:cNvPr>
        <xdr:cNvSpPr txBox="1"/>
      </xdr:nvSpPr>
      <xdr:spPr>
        <a:xfrm>
          <a:off x="14575155" y="9525"/>
          <a:ext cx="6808469" cy="439102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b="1"/>
            <a:t>Endurance Mission Profile çizimi</a:t>
          </a:r>
        </a:p>
        <a:p>
          <a:r>
            <a:rPr lang="tr-TR"/>
            <a:t>Şekil sırası şöyle olacak:</a:t>
          </a:r>
        </a:p>
        <a:p>
          <a:pPr rtl="0"/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Taxi &amp; Takeoff → Climb → 24 h Endurance / Loiter → Descent → Landing</a:t>
          </a:r>
        </a:p>
        <a:p>
          <a:r>
            <a:rPr lang="tr-TR"/>
            <a:t>Şeklin üzerine yazılacak etiketler:</a:t>
          </a:r>
        </a:p>
        <a:p>
          <a:pPr rtl="0"/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Taxi &amp; Takeoff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Sea Level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50 KCAS reference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W1/W0 = 0.975</a:t>
          </a:r>
        </a:p>
        <a:p>
          <a:pPr rtl="0"/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Climb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0 → 18,000 ft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No range credit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W2/W1 = 0.980</a:t>
          </a:r>
        </a:p>
        <a:p>
          <a:pPr rtl="0"/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Endurance / Loiter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24 h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Altitude: 18,000 ft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Speed: 70 KCAS reference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W3/W2 = Breguet endurance result</a:t>
          </a:r>
        </a:p>
        <a:p>
          <a:pPr rtl="0"/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Descent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18,000 ft → Sea Level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Idle / low power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W4/W3 = 0.990</a:t>
          </a:r>
        </a:p>
        <a:p>
          <a:pPr rtl="0"/>
          <a:r>
            <a:rPr lang="tr-TR" sz="1100" b="1">
              <a:solidFill>
                <a:schemeClr val="dk1"/>
              </a:solidFill>
              <a:latin typeface="+mn-lt"/>
              <a:ea typeface="+mn-ea"/>
              <a:cs typeface="+mn-cs"/>
            </a:rPr>
            <a:t>Landing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Sea Level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40 KCAS reference</a:t>
          </a:r>
          <a:b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dk1"/>
              </a:solidFill>
              <a:latin typeface="+mn-lt"/>
              <a:ea typeface="+mn-ea"/>
              <a:cs typeface="+mn-cs"/>
            </a:rPr>
            <a:t>W5/W4 = 0.995</a:t>
          </a:r>
        </a:p>
        <a:p>
          <a:endParaRPr lang="tr-TR" sz="1100"/>
        </a:p>
      </xdr:txBody>
    </xdr:sp>
    <xdr:clientData/>
  </xdr:twoCellAnchor>
  <xdr:oneCellAnchor>
    <xdr:from>
      <xdr:col>2</xdr:col>
      <xdr:colOff>1019175</xdr:colOff>
      <xdr:row>18</xdr:row>
      <xdr:rowOff>76200</xdr:rowOff>
    </xdr:from>
    <xdr:ext cx="6089103" cy="5775812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5C88B7A2-B9C1-2160-BABF-B4C370DAA00E}"/>
            </a:ext>
          </a:extLst>
        </xdr:cNvPr>
        <xdr:cNvSpPr txBox="1"/>
      </xdr:nvSpPr>
      <xdr:spPr>
        <a:xfrm>
          <a:off x="5353050" y="3505200"/>
          <a:ext cx="6089103" cy="5775812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b="1"/>
            <a:t>Radius Mission Profile çizimi</a:t>
          </a:r>
        </a:p>
        <a:p>
          <a:r>
            <a:rPr lang="tr-TR"/>
            <a:t>Şekil sırası şöyle olacak:</a:t>
          </a:r>
        </a:p>
        <a:p>
          <a:pPr rtl="0"/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Taxi &amp; Takeoff → Climb → Cruise Out 2000 km → Target / Loiter → Cruise Back 2000 km → Descent → Landing</a:t>
          </a:r>
        </a:p>
        <a:p>
          <a:r>
            <a:rPr lang="tr-TR"/>
            <a:t>Şeklin üzerine yazılacak etiketler: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Taxi &amp; Takeoff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Sea Level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50 KCAS reference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W1/W0 = 0.975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Climb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0 → 18,000 ft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No range credit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W2/W1 = 0.980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Cruise Out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Distance: 2000 km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Altitude: 18,000 ft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Speed: 70 KCAS reference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Target / Loiter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Mission area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Altitude: 18,000 ft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Operational surveillance segment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Cruise Back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Distance: 2000 km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Altitude: 18,000 ft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Speed: 70 KCAS reference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Descent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18,000 ft → Sea Level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Idle / low power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W6/W5 = 0.990</a:t>
          </a:r>
        </a:p>
        <a:p>
          <a:pPr rtl="0"/>
          <a:r>
            <a:rPr lang="tr-TR" sz="1100" b="1">
              <a:solidFill>
                <a:schemeClr val="tx1"/>
              </a:solidFill>
              <a:latin typeface="+mn-lt"/>
              <a:ea typeface="+mn-ea"/>
              <a:cs typeface="+mn-cs"/>
            </a:rPr>
            <a:t>Landing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Sea Level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40 KCAS reference</a:t>
          </a:r>
          <a:b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tr-TR" sz="1100">
              <a:solidFill>
                <a:schemeClr val="tx1"/>
              </a:solidFill>
              <a:latin typeface="+mn-lt"/>
              <a:ea typeface="+mn-ea"/>
              <a:cs typeface="+mn-cs"/>
            </a:rPr>
            <a:t>W7/W6 = 0.995</a:t>
          </a:r>
        </a:p>
        <a:p>
          <a:endParaRPr lang="tr-TR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2073087</xdr:colOff>
      <xdr:row>16</xdr:row>
      <xdr:rowOff>44824</xdr:rowOff>
    </xdr:from>
    <xdr:to>
      <xdr:col>3</xdr:col>
      <xdr:colOff>1322293</xdr:colOff>
      <xdr:row>33</xdr:row>
      <xdr:rowOff>77320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CF38B9B-8F08-D235-3D47-50D4FF3C1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11</xdr:row>
      <xdr:rowOff>148590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416940-CB64-E7D7-102C-E2868C99902C}"/>
            </a:ext>
          </a:extLst>
        </xdr:cNvPr>
        <xdr:cNvSpPr txBox="1"/>
      </xdr:nvSpPr>
      <xdr:spPr>
        <a:xfrm>
          <a:off x="6629400" y="2160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533400</xdr:colOff>
      <xdr:row>11</xdr:row>
      <xdr:rowOff>148590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6B5C97-04E0-E607-2732-5DF865125963}"/>
            </a:ext>
          </a:extLst>
        </xdr:cNvPr>
        <xdr:cNvSpPr txBox="1"/>
      </xdr:nvSpPr>
      <xdr:spPr>
        <a:xfrm>
          <a:off x="6629400" y="2160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556656</xdr:colOff>
      <xdr:row>7</xdr:row>
      <xdr:rowOff>153391</xdr:rowOff>
    </xdr:from>
    <xdr:to>
      <xdr:col>26</xdr:col>
      <xdr:colOff>32361</xdr:colOff>
      <xdr:row>42</xdr:row>
      <xdr:rowOff>89461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E34EFA-CDFD-4103-694B-7B5436021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2</xdr:row>
      <xdr:rowOff>148590</xdr:rowOff>
    </xdr:from>
    <xdr:to>
      <xdr:col>18</xdr:col>
      <xdr:colOff>213360</xdr:colOff>
      <xdr:row>23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7851A-9DE3-D4C0-BE5D-E9F8B4C6E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</xdr:row>
      <xdr:rowOff>171450</xdr:rowOff>
    </xdr:from>
    <xdr:to>
      <xdr:col>16</xdr:col>
      <xdr:colOff>76200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03CDA-C16F-B4D9-C104-FDFB14E96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7DBE-4D84-4007-A2FC-1EF27246C933}">
  <dimension ref="A1:D12"/>
  <sheetViews>
    <sheetView workbookViewId="0">
      <selection activeCell="G6" sqref="G6"/>
    </sheetView>
  </sheetViews>
  <sheetFormatPr defaultRowHeight="14.4" x14ac:dyDescent="0.3"/>
  <cols>
    <col min="1" max="2" width="16.6640625" customWidth="1"/>
    <col min="3" max="3" width="16" customWidth="1"/>
    <col min="4" max="4" width="17.5546875" customWidth="1"/>
  </cols>
  <sheetData>
    <row r="1" spans="1:4" x14ac:dyDescent="0.3">
      <c r="A1" s="3" t="s">
        <v>13</v>
      </c>
      <c r="B1" s="4" t="s">
        <v>14</v>
      </c>
      <c r="C1" s="3" t="s">
        <v>15</v>
      </c>
      <c r="D1" s="3" t="s">
        <v>16</v>
      </c>
    </row>
    <row r="2" spans="1:4" x14ac:dyDescent="0.3">
      <c r="A2" s="5" t="s">
        <v>1</v>
      </c>
      <c r="B2" s="6">
        <v>150</v>
      </c>
      <c r="C2" s="5" t="s">
        <v>17</v>
      </c>
      <c r="D2" s="5" t="s">
        <v>18</v>
      </c>
    </row>
    <row r="3" spans="1:4" ht="28.8" x14ac:dyDescent="0.3">
      <c r="A3" s="5" t="s">
        <v>19</v>
      </c>
      <c r="B3" s="6">
        <v>40</v>
      </c>
      <c r="C3" s="5" t="s">
        <v>20</v>
      </c>
      <c r="D3" s="5" t="s">
        <v>21</v>
      </c>
    </row>
    <row r="4" spans="1:4" x14ac:dyDescent="0.3">
      <c r="A4" s="5" t="s">
        <v>22</v>
      </c>
      <c r="B4" s="6">
        <v>50</v>
      </c>
      <c r="C4" s="5" t="s">
        <v>20</v>
      </c>
      <c r="D4" s="5" t="s">
        <v>23</v>
      </c>
    </row>
    <row r="5" spans="1:4" x14ac:dyDescent="0.3">
      <c r="A5" s="5" t="s">
        <v>24</v>
      </c>
      <c r="B5" s="6">
        <v>24000</v>
      </c>
      <c r="C5" s="5" t="s">
        <v>25</v>
      </c>
      <c r="D5" s="5" t="s">
        <v>26</v>
      </c>
    </row>
    <row r="6" spans="1:4" x14ac:dyDescent="0.3">
      <c r="A6" s="5" t="s">
        <v>27</v>
      </c>
      <c r="B6" s="6">
        <v>18000</v>
      </c>
      <c r="C6" s="5" t="s">
        <v>25</v>
      </c>
      <c r="D6" s="5" t="s">
        <v>26</v>
      </c>
    </row>
    <row r="7" spans="1:4" x14ac:dyDescent="0.3">
      <c r="A7" s="5" t="s">
        <v>28</v>
      </c>
      <c r="B7" s="6">
        <v>70</v>
      </c>
      <c r="C7" s="5" t="s">
        <v>20</v>
      </c>
      <c r="D7" s="5" t="s">
        <v>29</v>
      </c>
    </row>
    <row r="8" spans="1:4" x14ac:dyDescent="0.3">
      <c r="A8" s="5" t="s">
        <v>3</v>
      </c>
      <c r="B8" s="6">
        <v>24</v>
      </c>
      <c r="C8" s="5" t="s">
        <v>30</v>
      </c>
      <c r="D8" s="5" t="s">
        <v>31</v>
      </c>
    </row>
    <row r="9" spans="1:4" x14ac:dyDescent="0.3">
      <c r="A9" s="5" t="s">
        <v>32</v>
      </c>
      <c r="B9" s="6">
        <v>2000</v>
      </c>
      <c r="C9" s="5" t="s">
        <v>33</v>
      </c>
      <c r="D9" s="5" t="s">
        <v>34</v>
      </c>
    </row>
    <row r="10" spans="1:4" ht="28.8" x14ac:dyDescent="0.3">
      <c r="A10" s="5" t="s">
        <v>35</v>
      </c>
      <c r="B10" s="6">
        <v>4000</v>
      </c>
      <c r="C10" s="5" t="s">
        <v>33</v>
      </c>
      <c r="D10" s="5" t="s">
        <v>36</v>
      </c>
    </row>
    <row r="11" spans="1:4" ht="28.8" x14ac:dyDescent="0.3">
      <c r="A11" s="5" t="s">
        <v>37</v>
      </c>
      <c r="B11" s="6">
        <v>1200</v>
      </c>
      <c r="C11" s="5" t="s">
        <v>38</v>
      </c>
      <c r="D11" s="5" t="s">
        <v>26</v>
      </c>
    </row>
    <row r="12" spans="1:4" x14ac:dyDescent="0.3">
      <c r="A12" s="5" t="s">
        <v>39</v>
      </c>
      <c r="B12" s="6">
        <v>2000</v>
      </c>
      <c r="C12" s="5" t="s">
        <v>40</v>
      </c>
      <c r="D12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EF29-E36A-4295-9CD3-41614569689D}">
  <dimension ref="A1:K12"/>
  <sheetViews>
    <sheetView zoomScale="83" zoomScaleNormal="83" workbookViewId="0">
      <selection activeCell="G15" sqref="G15"/>
    </sheetView>
  </sheetViews>
  <sheetFormatPr defaultRowHeight="14.4" x14ac:dyDescent="0.3"/>
  <cols>
    <col min="1" max="1" width="16" customWidth="1"/>
    <col min="2" max="2" width="15" customWidth="1"/>
    <col min="3" max="3" width="17.44140625" customWidth="1"/>
    <col min="4" max="4" width="16.88671875" customWidth="1"/>
    <col min="5" max="5" width="21" customWidth="1"/>
    <col min="8" max="8" width="11.33203125" customWidth="1"/>
    <col min="9" max="9" width="13" customWidth="1"/>
    <col min="10" max="10" width="16" customWidth="1"/>
    <col min="11" max="11" width="22" customWidth="1"/>
  </cols>
  <sheetData>
    <row r="1" spans="1:11" ht="28.8" x14ac:dyDescent="0.3">
      <c r="A1" s="3" t="s">
        <v>42</v>
      </c>
      <c r="B1" s="3" t="s">
        <v>43</v>
      </c>
      <c r="C1" s="3" t="s">
        <v>44</v>
      </c>
      <c r="D1" s="4" t="s">
        <v>45</v>
      </c>
      <c r="E1" s="3" t="s">
        <v>16</v>
      </c>
      <c r="G1" s="3" t="s">
        <v>74</v>
      </c>
      <c r="H1" s="4" t="s">
        <v>75</v>
      </c>
      <c r="I1" s="3" t="s">
        <v>76</v>
      </c>
      <c r="J1" s="4" t="s">
        <v>77</v>
      </c>
      <c r="K1" s="3" t="s">
        <v>78</v>
      </c>
    </row>
    <row r="2" spans="1:11" ht="43.2" x14ac:dyDescent="0.3">
      <c r="A2" s="5" t="s">
        <v>46</v>
      </c>
      <c r="B2" s="5" t="s">
        <v>47</v>
      </c>
      <c r="C2" s="5" t="s">
        <v>48</v>
      </c>
      <c r="D2" s="6" t="s">
        <v>49</v>
      </c>
      <c r="E2" s="5" t="s">
        <v>50</v>
      </c>
      <c r="G2" s="5" t="s">
        <v>19</v>
      </c>
      <c r="H2" s="6">
        <v>40</v>
      </c>
      <c r="I2" s="5" t="s">
        <v>20</v>
      </c>
      <c r="J2" s="8">
        <f>H2*0.514444</f>
        <v>20.577760000000001</v>
      </c>
      <c r="K2" s="5" t="s">
        <v>48</v>
      </c>
    </row>
    <row r="3" spans="1:11" ht="43.2" x14ac:dyDescent="0.3">
      <c r="A3" s="5" t="s">
        <v>46</v>
      </c>
      <c r="B3" s="5" t="s">
        <v>47</v>
      </c>
      <c r="C3" s="5" t="s">
        <v>51</v>
      </c>
      <c r="D3" s="7">
        <v>168781</v>
      </c>
      <c r="E3" s="5" t="s">
        <v>50</v>
      </c>
      <c r="G3" s="5" t="s">
        <v>22</v>
      </c>
      <c r="H3" s="6">
        <v>50</v>
      </c>
      <c r="I3" s="5" t="s">
        <v>20</v>
      </c>
      <c r="J3" s="8">
        <f>H3*0.514444</f>
        <v>25.722200000000001</v>
      </c>
      <c r="K3" s="5" t="s">
        <v>48</v>
      </c>
    </row>
    <row r="4" spans="1:11" ht="28.8" x14ac:dyDescent="0.3">
      <c r="A4" s="5" t="s">
        <v>52</v>
      </c>
      <c r="B4" s="5" t="s">
        <v>33</v>
      </c>
      <c r="C4" s="5" t="s">
        <v>40</v>
      </c>
      <c r="D4" s="6">
        <v>1000</v>
      </c>
      <c r="E4" s="5" t="s">
        <v>53</v>
      </c>
      <c r="G4" s="5" t="s">
        <v>28</v>
      </c>
      <c r="H4" s="6">
        <v>70</v>
      </c>
      <c r="I4" s="5" t="s">
        <v>20</v>
      </c>
      <c r="J4" s="8">
        <f>H4*0.514444</f>
        <v>36.01108</v>
      </c>
      <c r="K4" s="5" t="s">
        <v>48</v>
      </c>
    </row>
    <row r="5" spans="1:11" ht="28.8" x14ac:dyDescent="0.3">
      <c r="A5" s="5" t="s">
        <v>52</v>
      </c>
      <c r="B5" s="5" t="s">
        <v>33</v>
      </c>
      <c r="C5" s="5" t="s">
        <v>54</v>
      </c>
      <c r="D5" s="6" t="s">
        <v>55</v>
      </c>
      <c r="E5" s="5" t="s">
        <v>53</v>
      </c>
      <c r="G5" s="5" t="s">
        <v>24</v>
      </c>
      <c r="H5" s="6">
        <v>24000</v>
      </c>
      <c r="I5" s="5" t="s">
        <v>25</v>
      </c>
      <c r="J5" s="8">
        <f>H5*0.3048</f>
        <v>7315.2000000000007</v>
      </c>
      <c r="K5" s="5" t="s">
        <v>40</v>
      </c>
    </row>
    <row r="6" spans="1:11" ht="28.8" x14ac:dyDescent="0.3">
      <c r="A6" s="5" t="s">
        <v>52</v>
      </c>
      <c r="B6" s="5" t="s">
        <v>54</v>
      </c>
      <c r="C6" s="5" t="s">
        <v>33</v>
      </c>
      <c r="D6" s="7">
        <v>1852</v>
      </c>
      <c r="E6" s="5" t="s">
        <v>56</v>
      </c>
      <c r="G6" s="5" t="s">
        <v>27</v>
      </c>
      <c r="H6" s="6">
        <v>18000</v>
      </c>
      <c r="I6" s="5" t="s">
        <v>25</v>
      </c>
      <c r="J6" s="8">
        <f>H6*0.3048</f>
        <v>5486.4000000000005</v>
      </c>
      <c r="K6" s="5" t="s">
        <v>40</v>
      </c>
    </row>
    <row r="7" spans="1:11" ht="28.8" x14ac:dyDescent="0.3">
      <c r="A7" s="5" t="s">
        <v>57</v>
      </c>
      <c r="B7" s="5" t="s">
        <v>25</v>
      </c>
      <c r="C7" s="5" t="s">
        <v>40</v>
      </c>
      <c r="D7" s="6" t="s">
        <v>58</v>
      </c>
      <c r="E7" s="5" t="s">
        <v>59</v>
      </c>
      <c r="G7" s="5" t="s">
        <v>32</v>
      </c>
      <c r="H7" s="6">
        <v>2000</v>
      </c>
      <c r="I7" s="5" t="s">
        <v>33</v>
      </c>
      <c r="J7" s="8">
        <f>H7*1000</f>
        <v>2000000</v>
      </c>
      <c r="K7" s="5" t="s">
        <v>40</v>
      </c>
    </row>
    <row r="8" spans="1:11" ht="57.6" x14ac:dyDescent="0.3">
      <c r="A8" s="5" t="s">
        <v>57</v>
      </c>
      <c r="B8" s="5" t="s">
        <v>40</v>
      </c>
      <c r="C8" s="5" t="s">
        <v>25</v>
      </c>
      <c r="D8" s="7">
        <v>328084</v>
      </c>
      <c r="E8" s="5" t="s">
        <v>60</v>
      </c>
      <c r="G8" s="5" t="s">
        <v>35</v>
      </c>
      <c r="H8" s="6">
        <v>4000</v>
      </c>
      <c r="I8" s="5" t="s">
        <v>33</v>
      </c>
      <c r="J8" s="8">
        <f>H8*1000</f>
        <v>4000000</v>
      </c>
      <c r="K8" s="5" t="s">
        <v>40</v>
      </c>
    </row>
    <row r="9" spans="1:11" ht="43.2" x14ac:dyDescent="0.3">
      <c r="A9" s="5" t="s">
        <v>61</v>
      </c>
      <c r="B9" s="5" t="s">
        <v>38</v>
      </c>
      <c r="C9" s="5" t="s">
        <v>48</v>
      </c>
      <c r="D9" s="6" t="s">
        <v>62</v>
      </c>
      <c r="E9" s="5" t="s">
        <v>63</v>
      </c>
      <c r="G9" s="5" t="s">
        <v>37</v>
      </c>
      <c r="H9" s="6">
        <v>1200</v>
      </c>
      <c r="I9" s="5" t="s">
        <v>38</v>
      </c>
      <c r="J9" s="8">
        <f>H9*0.00508</f>
        <v>6.0960000000000001</v>
      </c>
      <c r="K9" s="5" t="s">
        <v>48</v>
      </c>
    </row>
    <row r="10" spans="1:11" x14ac:dyDescent="0.3">
      <c r="A10" s="5" t="s">
        <v>64</v>
      </c>
      <c r="B10" s="5" t="s">
        <v>17</v>
      </c>
      <c r="C10" s="5" t="s">
        <v>65</v>
      </c>
      <c r="D10" s="7">
        <v>980665</v>
      </c>
      <c r="E10" s="5" t="s">
        <v>66</v>
      </c>
    </row>
    <row r="11" spans="1:11" x14ac:dyDescent="0.3">
      <c r="A11" s="5" t="s">
        <v>67</v>
      </c>
      <c r="B11" s="5" t="s">
        <v>68</v>
      </c>
      <c r="C11" s="5" t="s">
        <v>69</v>
      </c>
      <c r="D11" s="6" t="s">
        <v>70</v>
      </c>
      <c r="E11" s="5" t="s">
        <v>71</v>
      </c>
    </row>
    <row r="12" spans="1:11" x14ac:dyDescent="0.3">
      <c r="A12" s="5" t="s">
        <v>67</v>
      </c>
      <c r="B12" s="5" t="s">
        <v>72</v>
      </c>
      <c r="C12" s="5" t="s">
        <v>68</v>
      </c>
      <c r="D12" s="7">
        <v>134102</v>
      </c>
      <c r="E12" s="5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43CD-FD52-4427-8EC5-CAE8F4FB7BD9}">
  <dimension ref="A1:O8"/>
  <sheetViews>
    <sheetView workbookViewId="0">
      <selection activeCell="E32" sqref="E32"/>
    </sheetView>
  </sheetViews>
  <sheetFormatPr defaultRowHeight="14.4" x14ac:dyDescent="0.3"/>
  <cols>
    <col min="1" max="1" width="28.6640625" customWidth="1"/>
    <col min="2" max="2" width="15" customWidth="1"/>
    <col min="4" max="4" width="18.5546875" customWidth="1"/>
    <col min="5" max="5" width="13.33203125" customWidth="1"/>
    <col min="6" max="6" width="10.5546875" customWidth="1"/>
    <col min="11" max="11" width="15.44140625" customWidth="1"/>
    <col min="12" max="12" width="13.109375" customWidth="1"/>
    <col min="13" max="13" width="25.6640625" customWidth="1"/>
    <col min="14" max="14" width="13" customWidth="1"/>
    <col min="15" max="15" width="21.33203125" customWidth="1"/>
  </cols>
  <sheetData>
    <row r="1" spans="1:15" x14ac:dyDescent="0.3">
      <c r="A1" s="3" t="s">
        <v>79</v>
      </c>
      <c r="B1" s="4" t="s">
        <v>80</v>
      </c>
      <c r="D1" s="3" t="s">
        <v>88</v>
      </c>
      <c r="E1" s="4" t="s">
        <v>89</v>
      </c>
      <c r="F1" s="3" t="s">
        <v>90</v>
      </c>
    </row>
    <row r="2" spans="1:15" ht="28.8" x14ac:dyDescent="0.3">
      <c r="A2" s="5" t="s">
        <v>81</v>
      </c>
      <c r="B2" s="6" t="s">
        <v>82</v>
      </c>
      <c r="D2" s="5" t="s">
        <v>91</v>
      </c>
      <c r="E2" s="6" t="s">
        <v>14</v>
      </c>
      <c r="F2" s="5" t="s">
        <v>15</v>
      </c>
      <c r="H2" s="10" t="s">
        <v>104</v>
      </c>
      <c r="I2" s="11" t="s">
        <v>30</v>
      </c>
      <c r="J2" s="10" t="s">
        <v>15</v>
      </c>
      <c r="K2" s="11" t="s">
        <v>105</v>
      </c>
      <c r="L2" s="11" t="s">
        <v>106</v>
      </c>
      <c r="M2" s="11" t="s">
        <v>107</v>
      </c>
      <c r="N2" s="11" t="s">
        <v>108</v>
      </c>
      <c r="O2" s="11" t="s">
        <v>109</v>
      </c>
    </row>
    <row r="3" spans="1:15" ht="28.8" x14ac:dyDescent="0.3">
      <c r="A3" s="5" t="s">
        <v>83</v>
      </c>
      <c r="B3" s="6" t="s">
        <v>84</v>
      </c>
      <c r="D3" s="5" t="s">
        <v>92</v>
      </c>
      <c r="E3" s="6">
        <v>288.14999999999998</v>
      </c>
      <c r="F3" s="5" t="s">
        <v>93</v>
      </c>
      <c r="H3" s="12" t="s">
        <v>110</v>
      </c>
      <c r="I3" s="13">
        <v>0</v>
      </c>
      <c r="J3" s="12" t="s">
        <v>25</v>
      </c>
      <c r="K3" s="13">
        <f>I3*0.3048</f>
        <v>0</v>
      </c>
      <c r="L3" s="13">
        <f>$E$3-$E$6*I3</f>
        <v>288.14999999999998</v>
      </c>
      <c r="M3" s="13">
        <f>$E$4*(L3/$E$3)^($E$8/($E$7*$E$5))</f>
        <v>101325</v>
      </c>
      <c r="N3" s="14">
        <f>M3/($E$7*L3)</f>
        <v>1.2250122659906946</v>
      </c>
      <c r="O3" s="13">
        <f>N3/$E$5</f>
        <v>1.0000100130536282</v>
      </c>
    </row>
    <row r="4" spans="1:15" ht="28.8" x14ac:dyDescent="0.3">
      <c r="A4" s="5" t="s">
        <v>85</v>
      </c>
      <c r="B4" s="6" t="s">
        <v>86</v>
      </c>
      <c r="D4" s="5" t="s">
        <v>94</v>
      </c>
      <c r="E4" s="6">
        <v>101325</v>
      </c>
      <c r="F4" s="5" t="s">
        <v>95</v>
      </c>
      <c r="H4" s="12" t="s">
        <v>111</v>
      </c>
      <c r="I4" s="13">
        <v>18000</v>
      </c>
      <c r="J4" s="12" t="s">
        <v>25</v>
      </c>
      <c r="K4" s="14">
        <f>I4*0.3048</f>
        <v>5486.4000000000005</v>
      </c>
      <c r="L4" s="13">
        <f>$E$3-$E$6*K4</f>
        <v>252.48839999999998</v>
      </c>
      <c r="M4" s="13">
        <f>$E$4*(L4/$E$3)^($E$8/($E$7*$E$6))</f>
        <v>50587.46830930854</v>
      </c>
      <c r="N4" s="14">
        <f>M4/($E$7*L4)</f>
        <v>0.69798158370210206</v>
      </c>
      <c r="O4" s="13">
        <f t="shared" ref="O4:O5" si="0">N4/$E$5</f>
        <v>0.56978088465477716</v>
      </c>
    </row>
    <row r="5" spans="1:15" ht="28.8" x14ac:dyDescent="0.3">
      <c r="A5" s="5" t="s">
        <v>24</v>
      </c>
      <c r="B5" s="6" t="s">
        <v>87</v>
      </c>
      <c r="D5" s="5" t="s">
        <v>96</v>
      </c>
      <c r="E5" s="38">
        <v>1.2250000000000001</v>
      </c>
      <c r="F5" s="5" t="s">
        <v>97</v>
      </c>
      <c r="H5" s="12" t="s">
        <v>112</v>
      </c>
      <c r="I5" s="13">
        <v>24000</v>
      </c>
      <c r="J5" s="12" t="s">
        <v>25</v>
      </c>
      <c r="K5" s="14">
        <f>I5*0.3048</f>
        <v>7315.2000000000007</v>
      </c>
      <c r="L5" s="13">
        <f>$E$3-$E$6*K5</f>
        <v>240.60119999999998</v>
      </c>
      <c r="M5" s="13">
        <f>$E$4*(L5/$E$3)^($E$8/($E$7*$E$6))</f>
        <v>39257.892412439818</v>
      </c>
      <c r="N5" s="14">
        <f>M5/($E$7*L5)</f>
        <v>0.56842299716443967</v>
      </c>
      <c r="O5" s="13">
        <f t="shared" si="0"/>
        <v>0.46401877319546092</v>
      </c>
    </row>
    <row r="6" spans="1:15" ht="28.8" x14ac:dyDescent="0.3">
      <c r="A6" s="5" t="s">
        <v>27</v>
      </c>
      <c r="B6" s="6" t="s">
        <v>86</v>
      </c>
      <c r="D6" s="5" t="s">
        <v>98</v>
      </c>
      <c r="E6" s="6">
        <v>6.4999999999999997E-3</v>
      </c>
      <c r="F6" s="5" t="s">
        <v>99</v>
      </c>
    </row>
    <row r="7" spans="1:15" x14ac:dyDescent="0.3">
      <c r="D7" s="5" t="s">
        <v>100</v>
      </c>
      <c r="E7" s="6">
        <v>287.05</v>
      </c>
      <c r="F7" s="5" t="s">
        <v>101</v>
      </c>
    </row>
    <row r="8" spans="1:15" x14ac:dyDescent="0.3">
      <c r="D8" s="5" t="s">
        <v>102</v>
      </c>
      <c r="E8" s="9">
        <v>9.81</v>
      </c>
      <c r="F8" s="5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0D92-1E36-4968-B5F5-FC284C5544CB}">
  <dimension ref="A1:AT38"/>
  <sheetViews>
    <sheetView workbookViewId="0">
      <selection activeCell="J3" sqref="J3"/>
    </sheetView>
  </sheetViews>
  <sheetFormatPr defaultRowHeight="14.4" x14ac:dyDescent="0.3"/>
  <cols>
    <col min="1" max="1" width="17.5546875" customWidth="1"/>
    <col min="2" max="2" width="15.33203125" customWidth="1"/>
    <col min="3" max="3" width="15" customWidth="1"/>
    <col min="4" max="4" width="13.44140625" customWidth="1"/>
    <col min="5" max="5" width="20.88671875" customWidth="1"/>
    <col min="6" max="6" width="16" customWidth="1"/>
    <col min="7" max="7" width="17.5546875" customWidth="1"/>
    <col min="8" max="8" width="17.33203125" customWidth="1"/>
    <col min="9" max="9" width="19.33203125" customWidth="1"/>
    <col min="10" max="10" width="18.33203125" customWidth="1"/>
    <col min="11" max="11" width="15.5546875" customWidth="1"/>
    <col min="12" max="12" width="18" customWidth="1"/>
    <col min="13" max="13" width="18.33203125" customWidth="1"/>
    <col min="14" max="14" width="10.109375" customWidth="1"/>
    <col min="15" max="15" width="22.44140625" customWidth="1"/>
    <col min="16" max="16" width="19" customWidth="1"/>
    <col min="17" max="17" width="15.33203125" customWidth="1"/>
    <col min="18" max="18" width="15.109375" customWidth="1"/>
    <col min="19" max="19" width="16.33203125" customWidth="1"/>
    <col min="20" max="20" width="14.44140625" customWidth="1"/>
    <col min="21" max="21" width="13.88671875" customWidth="1"/>
    <col min="22" max="22" width="13.6640625" customWidth="1"/>
    <col min="23" max="23" width="16.5546875" customWidth="1"/>
    <col min="24" max="24" width="15.5546875" customWidth="1"/>
    <col min="25" max="25" width="15" customWidth="1"/>
    <col min="26" max="26" width="18.109375" customWidth="1"/>
    <col min="27" max="27" width="14.88671875" customWidth="1"/>
    <col min="28" max="28" width="24.109375" customWidth="1"/>
    <col min="29" max="29" width="14.88671875" customWidth="1"/>
    <col min="30" max="30" width="20.44140625" customWidth="1"/>
    <col min="31" max="31" width="20.33203125" customWidth="1"/>
    <col min="32" max="32" width="21.5546875" customWidth="1"/>
    <col min="33" max="33" width="19.5546875" customWidth="1"/>
    <col min="34" max="34" width="24.44140625" customWidth="1"/>
    <col min="35" max="35" width="20.44140625" customWidth="1"/>
    <col min="36" max="36" width="17.6640625" customWidth="1"/>
    <col min="37" max="37" width="72.88671875" customWidth="1"/>
    <col min="38" max="38" width="14.5546875" customWidth="1"/>
    <col min="39" max="39" width="18.109375" customWidth="1"/>
    <col min="40" max="40" width="16.109375" customWidth="1"/>
    <col min="41" max="41" width="37.33203125" customWidth="1"/>
    <col min="42" max="42" width="23.88671875" customWidth="1"/>
    <col min="43" max="43" width="96.33203125" customWidth="1"/>
    <col min="44" max="44" width="31.44140625" customWidth="1"/>
    <col min="45" max="45" width="33.109375" customWidth="1"/>
    <col min="46" max="46" width="90.88671875" customWidth="1"/>
  </cols>
  <sheetData>
    <row r="1" spans="1:46" ht="28.8" x14ac:dyDescent="0.3">
      <c r="A1" s="21" t="s">
        <v>113</v>
      </c>
      <c r="B1" s="21" t="s">
        <v>114</v>
      </c>
      <c r="C1" s="22" t="s">
        <v>115</v>
      </c>
      <c r="D1" s="22" t="s">
        <v>116</v>
      </c>
      <c r="E1" s="22" t="s">
        <v>118</v>
      </c>
      <c r="F1" s="22" t="s">
        <v>119</v>
      </c>
      <c r="G1" s="22" t="s">
        <v>120</v>
      </c>
      <c r="H1" s="22" t="s">
        <v>121</v>
      </c>
      <c r="I1" s="22" t="s">
        <v>122</v>
      </c>
      <c r="J1" s="22" t="s">
        <v>123</v>
      </c>
      <c r="K1" s="22" t="s">
        <v>124</v>
      </c>
      <c r="L1" s="22" t="s">
        <v>125</v>
      </c>
      <c r="M1" s="22" t="s">
        <v>126</v>
      </c>
      <c r="N1" s="22" t="s">
        <v>127</v>
      </c>
      <c r="O1" s="22" t="s">
        <v>128</v>
      </c>
      <c r="P1" s="22" t="s">
        <v>129</v>
      </c>
      <c r="Q1" s="22" t="s">
        <v>130</v>
      </c>
      <c r="R1" s="22" t="s">
        <v>132</v>
      </c>
      <c r="S1" s="22" t="s">
        <v>134</v>
      </c>
      <c r="T1" s="22" t="s">
        <v>135</v>
      </c>
      <c r="U1" s="22" t="s">
        <v>136</v>
      </c>
      <c r="V1" s="22" t="s">
        <v>137</v>
      </c>
      <c r="W1" s="22" t="s">
        <v>138</v>
      </c>
      <c r="X1" s="22" t="s">
        <v>139</v>
      </c>
      <c r="Y1" s="22" t="s">
        <v>140</v>
      </c>
      <c r="Z1" s="22" t="s">
        <v>141</v>
      </c>
      <c r="AA1" s="22" t="s">
        <v>142</v>
      </c>
      <c r="AB1" s="22" t="s">
        <v>143</v>
      </c>
      <c r="AC1" s="22" t="s">
        <v>144</v>
      </c>
      <c r="AD1" s="22" t="s">
        <v>145</v>
      </c>
      <c r="AE1" s="22" t="s">
        <v>146</v>
      </c>
      <c r="AF1" s="22" t="s">
        <v>147</v>
      </c>
      <c r="AG1" s="22" t="s">
        <v>148</v>
      </c>
      <c r="AH1" s="22" t="s">
        <v>149</v>
      </c>
      <c r="AI1" s="22" t="s">
        <v>150</v>
      </c>
      <c r="AJ1" s="22" t="s">
        <v>151</v>
      </c>
      <c r="AK1" s="22" t="s">
        <v>16</v>
      </c>
      <c r="AL1" s="15" t="s">
        <v>193</v>
      </c>
      <c r="AM1" s="16" t="s">
        <v>194</v>
      </c>
      <c r="AN1" s="16" t="s">
        <v>195</v>
      </c>
      <c r="AO1" s="16" t="s">
        <v>196</v>
      </c>
      <c r="AP1" s="18" t="s">
        <v>197</v>
      </c>
      <c r="AQ1" s="18" t="s">
        <v>203</v>
      </c>
      <c r="AR1" s="19" t="s">
        <v>204</v>
      </c>
      <c r="AS1" s="20" t="s">
        <v>205</v>
      </c>
      <c r="AT1" s="20" t="s">
        <v>206</v>
      </c>
    </row>
    <row r="2" spans="1:46" x14ac:dyDescent="0.3">
      <c r="A2" s="22" t="s">
        <v>152</v>
      </c>
      <c r="B2" s="23" t="s">
        <v>157</v>
      </c>
      <c r="C2" s="22" t="s">
        <v>158</v>
      </c>
      <c r="D2" s="22" t="s">
        <v>159</v>
      </c>
      <c r="E2" s="22" t="s">
        <v>160</v>
      </c>
      <c r="F2" s="22" t="s">
        <v>161</v>
      </c>
      <c r="G2" s="22" t="s">
        <v>162</v>
      </c>
      <c r="H2" s="22">
        <v>100</v>
      </c>
      <c r="I2" s="22" t="s">
        <v>163</v>
      </c>
      <c r="J2" s="22">
        <v>12</v>
      </c>
      <c r="K2" s="24">
        <v>46060</v>
      </c>
      <c r="L2" s="22">
        <v>20</v>
      </c>
      <c r="M2" s="24">
        <v>46148</v>
      </c>
      <c r="N2" s="24">
        <v>46055</v>
      </c>
      <c r="O2" s="24">
        <v>46143</v>
      </c>
      <c r="P2" s="25">
        <v>49310</v>
      </c>
      <c r="Q2" s="22">
        <v>700</v>
      </c>
      <c r="R2" s="22">
        <v>550</v>
      </c>
      <c r="S2" s="22">
        <v>220</v>
      </c>
      <c r="T2" s="22">
        <v>150</v>
      </c>
      <c r="U2" s="22">
        <v>150</v>
      </c>
      <c r="V2" s="22">
        <v>110</v>
      </c>
      <c r="W2" s="22">
        <v>90</v>
      </c>
      <c r="X2" s="22">
        <v>800</v>
      </c>
      <c r="Y2" s="22">
        <v>25000</v>
      </c>
      <c r="Z2" s="22">
        <v>18000</v>
      </c>
      <c r="AA2" s="22">
        <v>24</v>
      </c>
      <c r="AB2" s="22"/>
      <c r="AC2" s="22">
        <v>3400</v>
      </c>
      <c r="AD2" s="22" t="s">
        <v>164</v>
      </c>
      <c r="AE2" s="22" t="s">
        <v>165</v>
      </c>
      <c r="AF2" s="22">
        <v>300</v>
      </c>
      <c r="AG2" s="22" t="s">
        <v>166</v>
      </c>
      <c r="AH2" s="22" t="s">
        <v>167</v>
      </c>
      <c r="AI2" s="22" t="s">
        <v>168</v>
      </c>
      <c r="AJ2" s="22" t="s">
        <v>169</v>
      </c>
      <c r="AK2" s="22" t="s">
        <v>170</v>
      </c>
      <c r="AL2" s="16">
        <f>R2+S2+T2</f>
        <v>920</v>
      </c>
      <c r="AM2" s="16">
        <f>AL2-Q2</f>
        <v>220</v>
      </c>
      <c r="AN2" s="17">
        <f>AM2/Q2</f>
        <v>0.31428571428571428</v>
      </c>
      <c r="AO2" s="17" t="str">
        <f>IF(ABS(AN2)&lt;0.05,"OK","CHECK")</f>
        <v>CHECK</v>
      </c>
      <c r="AP2" s="18">
        <f>Q2-R2-S2-T2</f>
        <v>-220</v>
      </c>
      <c r="AQ2" s="18" t="s">
        <v>202</v>
      </c>
      <c r="AR2" s="19" t="str">
        <f>IF(AO2="OK","PROVISIONAL USE","SOURCE CORRECTION REQUIRED")</f>
        <v>SOURCE CORRECTION REQUIRED</v>
      </c>
      <c r="AS2" s="19" t="str">
        <f>IF(ABS(AN2)&lt;0.05,"LOW",IF(ABS(AN2)&lt;0.15,"MEDIUM","HIGH"))</f>
        <v>HIGH</v>
      </c>
      <c r="AT2" s="19" t="s">
        <v>207</v>
      </c>
    </row>
    <row r="3" spans="1:46" ht="43.2" x14ac:dyDescent="0.3">
      <c r="A3" s="22" t="s">
        <v>153</v>
      </c>
      <c r="B3" s="23" t="s">
        <v>171</v>
      </c>
      <c r="C3" s="22" t="s">
        <v>158</v>
      </c>
      <c r="D3" s="22" t="s">
        <v>172</v>
      </c>
      <c r="E3" s="22" t="s">
        <v>173</v>
      </c>
      <c r="F3" s="22" t="s">
        <v>174</v>
      </c>
      <c r="G3" s="22" t="s">
        <v>162</v>
      </c>
      <c r="H3" s="22">
        <v>170</v>
      </c>
      <c r="I3" s="22" t="s">
        <v>163</v>
      </c>
      <c r="J3" s="24">
        <v>46159</v>
      </c>
      <c r="K3" s="22" t="s">
        <v>175</v>
      </c>
      <c r="L3" s="22" t="s">
        <v>176</v>
      </c>
      <c r="M3" s="24">
        <v>46181</v>
      </c>
      <c r="N3" s="25">
        <v>45717</v>
      </c>
      <c r="O3" s="25">
        <v>24167</v>
      </c>
      <c r="P3" s="25">
        <v>48245</v>
      </c>
      <c r="Q3" s="22">
        <v>1700</v>
      </c>
      <c r="R3" s="22">
        <v>900</v>
      </c>
      <c r="S3" s="22">
        <v>450</v>
      </c>
      <c r="T3" s="22">
        <v>350</v>
      </c>
      <c r="U3" s="22">
        <v>800</v>
      </c>
      <c r="V3" s="22">
        <v>117</v>
      </c>
      <c r="W3" s="22">
        <v>110</v>
      </c>
      <c r="X3" s="22">
        <v>800</v>
      </c>
      <c r="Y3" s="22">
        <v>30000</v>
      </c>
      <c r="Z3" s="22">
        <v>20000</v>
      </c>
      <c r="AA3" s="22">
        <v>30</v>
      </c>
      <c r="AB3" s="22"/>
      <c r="AC3" s="22">
        <v>2500</v>
      </c>
      <c r="AD3" s="22">
        <v>45</v>
      </c>
      <c r="AE3" s="22">
        <v>55</v>
      </c>
      <c r="AF3" s="22" t="s">
        <v>177</v>
      </c>
      <c r="AG3" s="22" t="s">
        <v>166</v>
      </c>
      <c r="AH3" s="22" t="s">
        <v>167</v>
      </c>
      <c r="AI3" s="22" t="s">
        <v>168</v>
      </c>
      <c r="AJ3" s="22" t="s">
        <v>169</v>
      </c>
      <c r="AK3" s="22" t="s">
        <v>178</v>
      </c>
      <c r="AL3" s="16">
        <f t="shared" ref="AL3:AL6" si="0">R3+S3+T3</f>
        <v>1700</v>
      </c>
      <c r="AM3" s="16">
        <f t="shared" ref="AM3:AM6" si="1">AL3-Q3</f>
        <v>0</v>
      </c>
      <c r="AN3" s="17">
        <f t="shared" ref="AN3:AN6" si="2">AM3/Q3</f>
        <v>0</v>
      </c>
      <c r="AO3" s="17" t="str">
        <f t="shared" ref="AO3:AO6" si="3">IF(ABS(AN3)&lt;0.05,"OK","CHECK")</f>
        <v>OK</v>
      </c>
      <c r="AP3" s="18">
        <f t="shared" ref="AP3:AP6" si="4">Q3-R3-S3-T3</f>
        <v>0</v>
      </c>
      <c r="AQ3" s="18" t="s">
        <v>198</v>
      </c>
      <c r="AR3" s="19" t="str">
        <f t="shared" ref="AR3:AR6" si="5">IF(AO3="OK","PROVISIONAL USE","SOURCE CORRECTION REQUIRED")</f>
        <v>PROVISIONAL USE</v>
      </c>
      <c r="AS3" s="19" t="str">
        <f t="shared" ref="AS3:AS6" si="6">IF(ABS(AN3)&lt;0.05,"LOW",IF(ABS(AN3)&lt;0.15,"MEDIUM","HIGH"))</f>
        <v>LOW</v>
      </c>
      <c r="AT3" s="19" t="s">
        <v>208</v>
      </c>
    </row>
    <row r="4" spans="1:46" ht="28.8" x14ac:dyDescent="0.3">
      <c r="A4" s="22" t="s">
        <v>154</v>
      </c>
      <c r="B4" s="23" t="s">
        <v>179</v>
      </c>
      <c r="C4" s="22" t="s">
        <v>180</v>
      </c>
      <c r="D4" s="22" t="s">
        <v>172</v>
      </c>
      <c r="E4" s="22" t="s">
        <v>181</v>
      </c>
      <c r="F4" s="22" t="s">
        <v>161</v>
      </c>
      <c r="G4" s="22" t="s">
        <v>162</v>
      </c>
      <c r="H4" s="22">
        <v>115</v>
      </c>
      <c r="I4" s="22" t="s">
        <v>163</v>
      </c>
      <c r="J4" s="24">
        <v>46189</v>
      </c>
      <c r="K4" s="25">
        <v>53297</v>
      </c>
      <c r="L4" s="22" t="s">
        <v>182</v>
      </c>
      <c r="M4" s="24">
        <v>46150</v>
      </c>
      <c r="N4" s="24">
        <v>46174</v>
      </c>
      <c r="O4" s="26">
        <v>3015</v>
      </c>
      <c r="P4" s="26">
        <v>1218</v>
      </c>
      <c r="Q4" s="22">
        <v>1270</v>
      </c>
      <c r="R4" s="22">
        <v>600</v>
      </c>
      <c r="S4" s="22">
        <v>400</v>
      </c>
      <c r="T4" s="22">
        <v>470</v>
      </c>
      <c r="U4" s="22">
        <v>670</v>
      </c>
      <c r="V4" s="22">
        <v>140</v>
      </c>
      <c r="W4" s="22">
        <v>80</v>
      </c>
      <c r="X4" s="22">
        <v>490</v>
      </c>
      <c r="Y4" s="22">
        <v>35000</v>
      </c>
      <c r="Z4" s="22" t="s">
        <v>183</v>
      </c>
      <c r="AA4" s="22">
        <v>45</v>
      </c>
      <c r="AB4" s="22"/>
      <c r="AC4" s="22">
        <v>1000</v>
      </c>
      <c r="AD4" s="22">
        <v>45</v>
      </c>
      <c r="AE4" s="22">
        <v>50</v>
      </c>
      <c r="AF4" s="22" t="s">
        <v>184</v>
      </c>
      <c r="AG4" s="22" t="s">
        <v>166</v>
      </c>
      <c r="AH4" s="22" t="s">
        <v>167</v>
      </c>
      <c r="AI4" s="22" t="s">
        <v>168</v>
      </c>
      <c r="AJ4" s="22" t="s">
        <v>169</v>
      </c>
      <c r="AK4" s="22" t="s">
        <v>185</v>
      </c>
      <c r="AL4" s="16">
        <f t="shared" si="0"/>
        <v>1470</v>
      </c>
      <c r="AM4" s="16">
        <f t="shared" si="1"/>
        <v>200</v>
      </c>
      <c r="AN4" s="17">
        <f t="shared" si="2"/>
        <v>0.15748031496062992</v>
      </c>
      <c r="AO4" s="17" t="str">
        <f t="shared" si="3"/>
        <v>CHECK</v>
      </c>
      <c r="AP4" s="18">
        <f t="shared" si="4"/>
        <v>-200</v>
      </c>
      <c r="AQ4" s="18" t="s">
        <v>199</v>
      </c>
      <c r="AR4" s="19" t="str">
        <f t="shared" si="5"/>
        <v>SOURCE CORRECTION REQUIRED</v>
      </c>
      <c r="AS4" s="19" t="str">
        <f t="shared" si="6"/>
        <v>HIGH</v>
      </c>
      <c r="AT4" s="19" t="s">
        <v>209</v>
      </c>
    </row>
    <row r="5" spans="1:46" x14ac:dyDescent="0.3">
      <c r="A5" s="22" t="s">
        <v>155</v>
      </c>
      <c r="B5" s="23" t="s">
        <v>186</v>
      </c>
      <c r="C5" s="22" t="s">
        <v>187</v>
      </c>
      <c r="D5" s="22" t="s">
        <v>172</v>
      </c>
      <c r="E5" s="22" t="s">
        <v>188</v>
      </c>
      <c r="F5" s="22" t="s">
        <v>161</v>
      </c>
      <c r="G5" s="22" t="s">
        <v>162</v>
      </c>
      <c r="H5" s="22">
        <v>115</v>
      </c>
      <c r="I5" s="22" t="s">
        <v>163</v>
      </c>
      <c r="J5" s="24">
        <v>46248</v>
      </c>
      <c r="K5" s="24">
        <v>46153</v>
      </c>
      <c r="L5" s="24">
        <v>46131</v>
      </c>
      <c r="M5" s="25">
        <v>44774</v>
      </c>
      <c r="N5" s="24">
        <v>46024</v>
      </c>
      <c r="O5" s="25">
        <v>22678</v>
      </c>
      <c r="P5" s="25">
        <v>52963</v>
      </c>
      <c r="Q5" s="22">
        <v>1020</v>
      </c>
      <c r="R5" s="22">
        <v>512</v>
      </c>
      <c r="S5" s="22">
        <v>302</v>
      </c>
      <c r="T5" s="22">
        <v>204</v>
      </c>
      <c r="U5" s="22">
        <v>508</v>
      </c>
      <c r="V5" s="22">
        <v>117</v>
      </c>
      <c r="W5" s="22">
        <v>70</v>
      </c>
      <c r="X5" s="22">
        <v>500</v>
      </c>
      <c r="Y5" s="22">
        <v>25000</v>
      </c>
      <c r="Z5" s="22" t="s">
        <v>189</v>
      </c>
      <c r="AA5" s="22">
        <v>24</v>
      </c>
      <c r="AB5" s="22"/>
      <c r="AC5" s="22">
        <v>1200</v>
      </c>
      <c r="AD5" s="22">
        <v>45</v>
      </c>
      <c r="AE5" s="22">
        <v>54</v>
      </c>
      <c r="AF5" s="22">
        <v>500</v>
      </c>
      <c r="AG5" s="22" t="s">
        <v>166</v>
      </c>
      <c r="AH5" s="22" t="s">
        <v>167</v>
      </c>
      <c r="AI5" s="22" t="s">
        <v>168</v>
      </c>
      <c r="AJ5" s="22" t="s">
        <v>169</v>
      </c>
      <c r="AK5" s="22" t="s">
        <v>190</v>
      </c>
      <c r="AL5" s="16">
        <f t="shared" si="0"/>
        <v>1018</v>
      </c>
      <c r="AM5" s="16">
        <f t="shared" si="1"/>
        <v>-2</v>
      </c>
      <c r="AN5" s="17">
        <f t="shared" si="2"/>
        <v>-1.9607843137254902E-3</v>
      </c>
      <c r="AO5" s="17" t="str">
        <f t="shared" si="3"/>
        <v>OK</v>
      </c>
      <c r="AP5" s="18">
        <f t="shared" si="4"/>
        <v>2</v>
      </c>
      <c r="AQ5" s="18" t="s">
        <v>200</v>
      </c>
      <c r="AR5" s="19" t="str">
        <f t="shared" si="5"/>
        <v>PROVISIONAL USE</v>
      </c>
      <c r="AS5" s="19" t="str">
        <f t="shared" si="6"/>
        <v>LOW</v>
      </c>
      <c r="AT5" s="19" t="s">
        <v>210</v>
      </c>
    </row>
    <row r="6" spans="1:46" x14ac:dyDescent="0.3">
      <c r="A6" s="22" t="s">
        <v>156</v>
      </c>
      <c r="B6" s="23" t="s">
        <v>186</v>
      </c>
      <c r="C6" s="22" t="s">
        <v>187</v>
      </c>
      <c r="D6" s="22" t="s">
        <v>172</v>
      </c>
      <c r="E6" s="22" t="s">
        <v>191</v>
      </c>
      <c r="F6" s="22" t="s">
        <v>174</v>
      </c>
      <c r="G6" s="22" t="s">
        <v>162</v>
      </c>
      <c r="H6" s="22">
        <v>900</v>
      </c>
      <c r="I6" s="22" t="s">
        <v>163</v>
      </c>
      <c r="J6" s="22">
        <v>20</v>
      </c>
      <c r="K6" s="22">
        <v>20</v>
      </c>
      <c r="L6" s="22">
        <v>20</v>
      </c>
      <c r="M6" s="22">
        <v>11</v>
      </c>
      <c r="N6" s="24">
        <v>46237</v>
      </c>
      <c r="O6" s="26">
        <v>5378</v>
      </c>
      <c r="P6" s="26">
        <v>3105</v>
      </c>
      <c r="Q6" s="22">
        <v>4763</v>
      </c>
      <c r="R6" s="22">
        <v>2223</v>
      </c>
      <c r="S6" s="22">
        <v>1724</v>
      </c>
      <c r="T6" s="22">
        <v>386</v>
      </c>
      <c r="U6" s="22">
        <v>2540</v>
      </c>
      <c r="V6" s="22">
        <v>260</v>
      </c>
      <c r="W6" s="22">
        <v>170</v>
      </c>
      <c r="X6" s="22">
        <v>1800</v>
      </c>
      <c r="Y6" s="22">
        <v>50000</v>
      </c>
      <c r="Z6" s="22" t="s">
        <v>183</v>
      </c>
      <c r="AA6" s="22">
        <v>27</v>
      </c>
      <c r="AB6" s="22"/>
      <c r="AC6" s="22">
        <v>1800</v>
      </c>
      <c r="AD6" s="22">
        <v>65</v>
      </c>
      <c r="AE6" s="22">
        <v>75</v>
      </c>
      <c r="AF6" s="22">
        <v>1066</v>
      </c>
      <c r="AG6" s="22" t="s">
        <v>166</v>
      </c>
      <c r="AH6" s="22" t="s">
        <v>167</v>
      </c>
      <c r="AI6" s="22" t="s">
        <v>168</v>
      </c>
      <c r="AJ6" s="22" t="s">
        <v>169</v>
      </c>
      <c r="AK6" s="22" t="s">
        <v>192</v>
      </c>
      <c r="AL6" s="16">
        <f t="shared" si="0"/>
        <v>4333</v>
      </c>
      <c r="AM6" s="16">
        <f t="shared" si="1"/>
        <v>-430</v>
      </c>
      <c r="AN6" s="17">
        <f t="shared" si="2"/>
        <v>-9.0279235775771571E-2</v>
      </c>
      <c r="AO6" s="17" t="str">
        <f t="shared" si="3"/>
        <v>CHECK</v>
      </c>
      <c r="AP6" s="18">
        <f t="shared" si="4"/>
        <v>430</v>
      </c>
      <c r="AQ6" s="18" t="s">
        <v>201</v>
      </c>
      <c r="AR6" s="19" t="str">
        <f t="shared" si="5"/>
        <v>SOURCE CORRECTION REQUIRED</v>
      </c>
      <c r="AS6" s="19" t="str">
        <f t="shared" si="6"/>
        <v>MEDIUM</v>
      </c>
      <c r="AT6" s="19" t="s">
        <v>211</v>
      </c>
    </row>
    <row r="7" spans="1:46" x14ac:dyDescent="0.3">
      <c r="A7" s="2"/>
      <c r="B7" s="2"/>
    </row>
    <row r="8" spans="1:46" x14ac:dyDescent="0.3">
      <c r="A8" s="2"/>
      <c r="B8" s="2"/>
    </row>
    <row r="9" spans="1:46" x14ac:dyDescent="0.3">
      <c r="A9" s="2"/>
      <c r="B9" s="2"/>
    </row>
    <row r="10" spans="1:46" x14ac:dyDescent="0.3">
      <c r="A10" s="2"/>
      <c r="B10" s="2"/>
    </row>
    <row r="11" spans="1:46" x14ac:dyDescent="0.3">
      <c r="A11" s="2"/>
      <c r="B11" s="2"/>
    </row>
    <row r="12" spans="1:46" x14ac:dyDescent="0.3">
      <c r="A12" s="2"/>
      <c r="B12" s="2"/>
    </row>
    <row r="13" spans="1:46" x14ac:dyDescent="0.3">
      <c r="A13" s="2"/>
      <c r="B13" s="2"/>
    </row>
    <row r="14" spans="1:46" x14ac:dyDescent="0.3">
      <c r="A14" s="2"/>
      <c r="B14" s="2"/>
      <c r="AK14" s="1"/>
      <c r="AL14" s="1"/>
    </row>
    <row r="15" spans="1:46" x14ac:dyDescent="0.3">
      <c r="A15" s="2"/>
      <c r="B15" s="2"/>
      <c r="AK15" s="2"/>
      <c r="AL15" s="2"/>
    </row>
    <row r="16" spans="1:46" x14ac:dyDescent="0.3">
      <c r="A16" s="2"/>
      <c r="B16" s="2"/>
      <c r="AK16" s="2"/>
      <c r="AL16" s="2"/>
    </row>
    <row r="17" spans="1:38" x14ac:dyDescent="0.3">
      <c r="A17" s="2"/>
      <c r="B17" s="2"/>
      <c r="AK17" s="2"/>
      <c r="AL17" s="2"/>
    </row>
    <row r="18" spans="1:38" x14ac:dyDescent="0.3">
      <c r="A18" s="2"/>
      <c r="B18" s="2"/>
      <c r="AK18" s="2"/>
      <c r="AL18" s="2"/>
    </row>
    <row r="19" spans="1:38" x14ac:dyDescent="0.3">
      <c r="A19" s="2"/>
      <c r="B19" s="2"/>
    </row>
    <row r="20" spans="1:38" x14ac:dyDescent="0.3">
      <c r="A20" s="2"/>
      <c r="B20" s="2"/>
    </row>
    <row r="21" spans="1:38" x14ac:dyDescent="0.3">
      <c r="A21" s="2"/>
      <c r="B21" s="2"/>
    </row>
    <row r="22" spans="1:38" x14ac:dyDescent="0.3">
      <c r="A22" s="2"/>
      <c r="B22" s="2"/>
    </row>
    <row r="23" spans="1:38" x14ac:dyDescent="0.3">
      <c r="A23" s="2"/>
      <c r="B23" s="2"/>
    </row>
    <row r="24" spans="1:38" x14ac:dyDescent="0.3">
      <c r="A24" s="2"/>
      <c r="B24" s="2"/>
    </row>
    <row r="25" spans="1:38" x14ac:dyDescent="0.3">
      <c r="A25" s="2"/>
      <c r="B25" s="2"/>
    </row>
    <row r="26" spans="1:38" x14ac:dyDescent="0.3">
      <c r="A26" s="2"/>
      <c r="B26" s="2"/>
    </row>
    <row r="27" spans="1:38" x14ac:dyDescent="0.3">
      <c r="A27" s="2"/>
      <c r="B27" s="2"/>
    </row>
    <row r="28" spans="1:38" x14ac:dyDescent="0.3">
      <c r="A28" s="2"/>
      <c r="B28" s="2"/>
    </row>
    <row r="29" spans="1:38" x14ac:dyDescent="0.3">
      <c r="A29" s="2"/>
      <c r="B29" s="2"/>
    </row>
    <row r="30" spans="1:38" x14ac:dyDescent="0.3">
      <c r="A30" s="2"/>
      <c r="B30" s="2"/>
    </row>
    <row r="31" spans="1:38" x14ac:dyDescent="0.3">
      <c r="A31" s="2"/>
      <c r="B31" s="2"/>
    </row>
    <row r="32" spans="1:38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0061-901A-433F-B26F-377E1FC8EC0D}">
  <dimension ref="A1:I18"/>
  <sheetViews>
    <sheetView zoomScale="61" workbookViewId="0">
      <selection activeCell="G35" sqref="G35"/>
    </sheetView>
  </sheetViews>
  <sheetFormatPr defaultRowHeight="14.4" x14ac:dyDescent="0.3"/>
  <cols>
    <col min="1" max="1" width="27.88671875" customWidth="1"/>
    <col min="2" max="2" width="37.44140625" customWidth="1"/>
    <col min="3" max="3" width="21.88671875" customWidth="1"/>
    <col min="4" max="4" width="18.6640625" customWidth="1"/>
    <col min="5" max="5" width="15.33203125" customWidth="1"/>
    <col min="6" max="6" width="29.33203125" customWidth="1"/>
    <col min="7" max="7" width="68.88671875" customWidth="1"/>
    <col min="8" max="8" width="13.5546875" customWidth="1"/>
    <col min="9" max="9" width="45.5546875" customWidth="1"/>
  </cols>
  <sheetData>
    <row r="1" spans="1:9" ht="23.4" x14ac:dyDescent="0.45">
      <c r="A1" s="42" t="s">
        <v>212</v>
      </c>
      <c r="B1" s="42" t="s">
        <v>74</v>
      </c>
      <c r="C1" s="42" t="s">
        <v>213</v>
      </c>
      <c r="D1" s="42" t="s">
        <v>14</v>
      </c>
      <c r="E1" s="42" t="s">
        <v>15</v>
      </c>
      <c r="F1" s="42" t="s">
        <v>214</v>
      </c>
      <c r="G1" s="42" t="s">
        <v>215</v>
      </c>
      <c r="H1" s="42" t="s">
        <v>151</v>
      </c>
      <c r="I1" s="42" t="s">
        <v>16</v>
      </c>
    </row>
    <row r="2" spans="1:9" ht="23.4" x14ac:dyDescent="0.45">
      <c r="A2" s="42" t="s">
        <v>216</v>
      </c>
      <c r="B2" s="42" t="s">
        <v>125</v>
      </c>
      <c r="C2" s="42" t="s">
        <v>217</v>
      </c>
      <c r="D2" s="42">
        <v>20</v>
      </c>
      <c r="E2" s="42" t="s">
        <v>218</v>
      </c>
      <c r="F2" s="42" t="s">
        <v>219</v>
      </c>
      <c r="G2" s="42" t="s">
        <v>220</v>
      </c>
      <c r="H2" s="42" t="s">
        <v>221</v>
      </c>
      <c r="I2" s="42" t="s">
        <v>222</v>
      </c>
    </row>
    <row r="3" spans="1:9" ht="23.4" x14ac:dyDescent="0.45">
      <c r="A3" s="42" t="s">
        <v>216</v>
      </c>
      <c r="B3" s="42" t="s">
        <v>223</v>
      </c>
      <c r="C3" s="42" t="s">
        <v>224</v>
      </c>
      <c r="D3" s="42">
        <v>0.8</v>
      </c>
      <c r="E3" s="42" t="s">
        <v>218</v>
      </c>
      <c r="F3" s="42" t="s">
        <v>225</v>
      </c>
      <c r="G3" s="42" t="s">
        <v>226</v>
      </c>
      <c r="H3" s="42" t="s">
        <v>221</v>
      </c>
      <c r="I3" s="42" t="s">
        <v>227</v>
      </c>
    </row>
    <row r="4" spans="1:9" ht="23.4" x14ac:dyDescent="0.45">
      <c r="A4" s="42" t="s">
        <v>216</v>
      </c>
      <c r="B4" s="42" t="s">
        <v>228</v>
      </c>
      <c r="C4" s="42" t="s">
        <v>229</v>
      </c>
      <c r="D4" s="42">
        <v>2.5000000000000001E-2</v>
      </c>
      <c r="E4" s="42" t="s">
        <v>218</v>
      </c>
      <c r="F4" s="42" t="s">
        <v>230</v>
      </c>
      <c r="G4" s="42" t="s">
        <v>231</v>
      </c>
      <c r="H4" s="42" t="s">
        <v>221</v>
      </c>
      <c r="I4" s="42" t="s">
        <v>232</v>
      </c>
    </row>
    <row r="5" spans="1:9" ht="23.4" x14ac:dyDescent="0.45">
      <c r="A5" s="42" t="s">
        <v>216</v>
      </c>
      <c r="B5" s="42" t="s">
        <v>233</v>
      </c>
      <c r="C5" s="42" t="s">
        <v>234</v>
      </c>
      <c r="D5" s="42">
        <v>0.95</v>
      </c>
      <c r="E5" s="42" t="s">
        <v>218</v>
      </c>
      <c r="F5" s="42" t="s">
        <v>235</v>
      </c>
      <c r="G5" s="42" t="s">
        <v>236</v>
      </c>
      <c r="H5" s="42" t="s">
        <v>221</v>
      </c>
      <c r="I5" s="42" t="s">
        <v>237</v>
      </c>
    </row>
    <row r="6" spans="1:9" ht="23.4" x14ac:dyDescent="0.45">
      <c r="A6" s="42" t="s">
        <v>238</v>
      </c>
      <c r="B6" s="42" t="s">
        <v>239</v>
      </c>
      <c r="C6" s="42" t="s">
        <v>240</v>
      </c>
      <c r="D6" s="42">
        <v>0.8</v>
      </c>
      <c r="E6" s="42" t="s">
        <v>218</v>
      </c>
      <c r="F6" s="42" t="s">
        <v>241</v>
      </c>
      <c r="G6" s="42" t="s">
        <v>242</v>
      </c>
      <c r="H6" s="42" t="s">
        <v>221</v>
      </c>
      <c r="I6" s="42" t="s">
        <v>243</v>
      </c>
    </row>
    <row r="7" spans="1:9" ht="23.4" x14ac:dyDescent="0.45">
      <c r="A7" s="42" t="s">
        <v>238</v>
      </c>
      <c r="B7" s="42" t="s">
        <v>244</v>
      </c>
      <c r="C7" s="42" t="s">
        <v>245</v>
      </c>
      <c r="D7" s="42">
        <v>0.75</v>
      </c>
      <c r="E7" s="42" t="s">
        <v>218</v>
      </c>
      <c r="F7" s="42" t="s">
        <v>246</v>
      </c>
      <c r="G7" s="42" t="s">
        <v>247</v>
      </c>
      <c r="H7" s="42" t="s">
        <v>221</v>
      </c>
      <c r="I7" s="42" t="s">
        <v>248</v>
      </c>
    </row>
    <row r="8" spans="1:9" ht="23.4" x14ac:dyDescent="0.45">
      <c r="A8" s="42" t="s">
        <v>238</v>
      </c>
      <c r="B8" s="42" t="s">
        <v>249</v>
      </c>
      <c r="C8" s="42" t="s">
        <v>250</v>
      </c>
      <c r="D8" s="42">
        <v>0.4</v>
      </c>
      <c r="E8" s="42" t="s">
        <v>251</v>
      </c>
      <c r="F8" s="42" t="s">
        <v>252</v>
      </c>
      <c r="G8" s="42" t="s">
        <v>253</v>
      </c>
      <c r="H8" s="42" t="s">
        <v>221</v>
      </c>
      <c r="I8" s="42" t="s">
        <v>254</v>
      </c>
    </row>
    <row r="9" spans="1:9" ht="23.4" x14ac:dyDescent="0.45">
      <c r="A9" s="42" t="s">
        <v>238</v>
      </c>
      <c r="B9" s="42" t="s">
        <v>255</v>
      </c>
      <c r="C9" s="42" t="s">
        <v>256</v>
      </c>
      <c r="D9" s="42">
        <v>0.5</v>
      </c>
      <c r="E9" s="42" t="s">
        <v>251</v>
      </c>
      <c r="F9" s="42" t="s">
        <v>257</v>
      </c>
      <c r="G9" s="42" t="s">
        <v>258</v>
      </c>
      <c r="H9" s="42" t="s">
        <v>221</v>
      </c>
      <c r="I9" s="42" t="s">
        <v>254</v>
      </c>
    </row>
    <row r="10" spans="1:9" ht="23.4" x14ac:dyDescent="0.45">
      <c r="A10" s="42" t="s">
        <v>259</v>
      </c>
      <c r="B10" s="42" t="s">
        <v>260</v>
      </c>
      <c r="C10" s="42" t="s">
        <v>261</v>
      </c>
      <c r="D10" s="42">
        <v>1.4</v>
      </c>
      <c r="E10" s="42" t="s">
        <v>218</v>
      </c>
      <c r="F10" s="42" t="s">
        <v>22</v>
      </c>
      <c r="G10" s="42" t="s">
        <v>262</v>
      </c>
      <c r="H10" s="42" t="s">
        <v>221</v>
      </c>
      <c r="I10" s="42" t="s">
        <v>263</v>
      </c>
    </row>
    <row r="11" spans="1:9" ht="23.4" x14ac:dyDescent="0.45">
      <c r="A11" s="42" t="s">
        <v>259</v>
      </c>
      <c r="B11" s="42" t="s">
        <v>264</v>
      </c>
      <c r="C11" s="42" t="s">
        <v>265</v>
      </c>
      <c r="D11" s="42">
        <v>2</v>
      </c>
      <c r="E11" s="42" t="s">
        <v>218</v>
      </c>
      <c r="F11" s="42" t="s">
        <v>19</v>
      </c>
      <c r="G11" s="42" t="s">
        <v>266</v>
      </c>
      <c r="H11" s="42" t="s">
        <v>221</v>
      </c>
      <c r="I11" s="42" t="s">
        <v>267</v>
      </c>
    </row>
    <row r="12" spans="1:9" ht="23.4" x14ac:dyDescent="0.45">
      <c r="A12" s="42" t="s">
        <v>268</v>
      </c>
      <c r="B12" s="42" t="s">
        <v>269</v>
      </c>
      <c r="C12" s="42" t="s">
        <v>270</v>
      </c>
      <c r="D12" s="42">
        <v>0.97499999999999998</v>
      </c>
      <c r="E12" s="42" t="s">
        <v>218</v>
      </c>
      <c r="F12" s="42" t="s">
        <v>271</v>
      </c>
      <c r="G12" s="42" t="s">
        <v>272</v>
      </c>
      <c r="H12" s="42" t="s">
        <v>221</v>
      </c>
      <c r="I12" s="42" t="s">
        <v>273</v>
      </c>
    </row>
    <row r="13" spans="1:9" ht="23.4" x14ac:dyDescent="0.45">
      <c r="A13" s="42" t="s">
        <v>268</v>
      </c>
      <c r="B13" s="42" t="s">
        <v>274</v>
      </c>
      <c r="C13" s="42" t="s">
        <v>275</v>
      </c>
      <c r="D13" s="42">
        <v>0.98</v>
      </c>
      <c r="E13" s="42" t="s">
        <v>218</v>
      </c>
      <c r="F13" s="42" t="s">
        <v>271</v>
      </c>
      <c r="G13" s="42" t="s">
        <v>272</v>
      </c>
      <c r="H13" s="42" t="s">
        <v>221</v>
      </c>
      <c r="I13" s="42" t="s">
        <v>276</v>
      </c>
    </row>
    <row r="14" spans="1:9" ht="23.4" x14ac:dyDescent="0.45">
      <c r="A14" s="42" t="s">
        <v>268</v>
      </c>
      <c r="B14" s="42" t="s">
        <v>277</v>
      </c>
      <c r="C14" s="42" t="s">
        <v>278</v>
      </c>
      <c r="D14" s="42">
        <v>0.99</v>
      </c>
      <c r="E14" s="42" t="s">
        <v>218</v>
      </c>
      <c r="F14" s="42" t="s">
        <v>271</v>
      </c>
      <c r="G14" s="42" t="s">
        <v>272</v>
      </c>
      <c r="H14" s="42" t="s">
        <v>221</v>
      </c>
      <c r="I14" s="42" t="s">
        <v>279</v>
      </c>
    </row>
    <row r="15" spans="1:9" ht="23.4" x14ac:dyDescent="0.45">
      <c r="A15" s="42" t="s">
        <v>268</v>
      </c>
      <c r="B15" s="42" t="s">
        <v>280</v>
      </c>
      <c r="C15" s="42" t="s">
        <v>281</v>
      </c>
      <c r="D15" s="42">
        <v>0.995</v>
      </c>
      <c r="E15" s="42" t="s">
        <v>218</v>
      </c>
      <c r="F15" s="42" t="s">
        <v>271</v>
      </c>
      <c r="G15" s="42" t="s">
        <v>272</v>
      </c>
      <c r="H15" s="42" t="s">
        <v>221</v>
      </c>
      <c r="I15" s="42" t="s">
        <v>282</v>
      </c>
    </row>
    <row r="16" spans="1:9" ht="23.4" x14ac:dyDescent="0.45">
      <c r="A16" s="42" t="s">
        <v>268</v>
      </c>
      <c r="B16" s="42" t="s">
        <v>283</v>
      </c>
      <c r="C16" s="42" t="s">
        <v>284</v>
      </c>
      <c r="D16" s="42">
        <v>1.05</v>
      </c>
      <c r="E16" s="42" t="s">
        <v>218</v>
      </c>
      <c r="F16" s="42" t="s">
        <v>285</v>
      </c>
      <c r="G16" s="42" t="s">
        <v>286</v>
      </c>
      <c r="H16" s="42" t="s">
        <v>221</v>
      </c>
      <c r="I16" s="42" t="s">
        <v>287</v>
      </c>
    </row>
    <row r="17" spans="1:9" ht="23.4" x14ac:dyDescent="0.45">
      <c r="A17" s="42" t="s">
        <v>288</v>
      </c>
      <c r="B17" s="42" t="s">
        <v>289</v>
      </c>
      <c r="C17" s="42" t="s">
        <v>11</v>
      </c>
      <c r="D17" s="42">
        <v>150</v>
      </c>
      <c r="E17" s="42" t="s">
        <v>17</v>
      </c>
      <c r="F17" s="42" t="s">
        <v>290</v>
      </c>
      <c r="G17" s="42" t="s">
        <v>291</v>
      </c>
      <c r="H17" s="42" t="s">
        <v>292</v>
      </c>
      <c r="I17" s="42" t="s">
        <v>293</v>
      </c>
    </row>
    <row r="18" spans="1:9" ht="23.4" x14ac:dyDescent="0.45">
      <c r="A18" s="42" t="s">
        <v>288</v>
      </c>
      <c r="B18" s="42" t="s">
        <v>294</v>
      </c>
      <c r="C18" s="42" t="s">
        <v>295</v>
      </c>
      <c r="D18" s="42">
        <v>0</v>
      </c>
      <c r="E18" s="42" t="s">
        <v>17</v>
      </c>
      <c r="F18" s="42" t="s">
        <v>290</v>
      </c>
      <c r="G18" s="42" t="s">
        <v>296</v>
      </c>
      <c r="H18" s="42" t="s">
        <v>292</v>
      </c>
      <c r="I18" s="4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4E1E-72F6-471B-BAEC-5AC1AC8A5807}">
  <dimension ref="A1:E21"/>
  <sheetViews>
    <sheetView zoomScale="78" workbookViewId="0">
      <selection activeCell="D28" sqref="D28"/>
    </sheetView>
  </sheetViews>
  <sheetFormatPr defaultRowHeight="14.4" x14ac:dyDescent="0.3"/>
  <cols>
    <col min="1" max="1" width="48.5546875" customWidth="1"/>
    <col min="2" max="2" width="32.88671875" customWidth="1"/>
    <col min="3" max="3" width="19.88671875" customWidth="1"/>
    <col min="4" max="4" width="24.6640625" customWidth="1"/>
    <col min="5" max="5" width="39" customWidth="1"/>
    <col min="6" max="6" width="14" customWidth="1"/>
    <col min="7" max="7" width="16.44140625" customWidth="1"/>
  </cols>
  <sheetData>
    <row r="1" spans="1:5" x14ac:dyDescent="0.3">
      <c r="A1" s="27" t="s">
        <v>74</v>
      </c>
      <c r="B1" s="27" t="s">
        <v>213</v>
      </c>
      <c r="C1" s="27" t="s">
        <v>14</v>
      </c>
      <c r="D1" s="27" t="s">
        <v>15</v>
      </c>
      <c r="E1" s="27" t="s">
        <v>16</v>
      </c>
    </row>
    <row r="2" spans="1:5" x14ac:dyDescent="0.3">
      <c r="A2" s="27" t="s">
        <v>125</v>
      </c>
      <c r="B2" s="27" t="s">
        <v>217</v>
      </c>
      <c r="C2" s="27">
        <v>20</v>
      </c>
      <c r="D2" s="27" t="s">
        <v>218</v>
      </c>
      <c r="E2" s="27" t="s">
        <v>298</v>
      </c>
    </row>
    <row r="3" spans="1:5" x14ac:dyDescent="0.3">
      <c r="A3" s="27" t="s">
        <v>299</v>
      </c>
      <c r="B3" s="27" t="s">
        <v>224</v>
      </c>
      <c r="C3" s="27">
        <v>0.8</v>
      </c>
      <c r="D3" s="27" t="s">
        <v>218</v>
      </c>
      <c r="E3" s="27" t="s">
        <v>298</v>
      </c>
    </row>
    <row r="4" spans="1:5" x14ac:dyDescent="0.3">
      <c r="A4" s="27" t="s">
        <v>228</v>
      </c>
      <c r="B4" s="27" t="s">
        <v>229</v>
      </c>
      <c r="C4" s="27">
        <v>2.5000000000000001E-2</v>
      </c>
      <c r="D4" s="27" t="s">
        <v>218</v>
      </c>
      <c r="E4" s="27" t="s">
        <v>298</v>
      </c>
    </row>
    <row r="5" spans="1:5" x14ac:dyDescent="0.3">
      <c r="A5" s="27" t="s">
        <v>300</v>
      </c>
      <c r="B5" s="27" t="s">
        <v>93</v>
      </c>
      <c r="C5" s="28">
        <f>1/(3.14159265*C3*C2)</f>
        <v>1.9894367909219546E-2</v>
      </c>
      <c r="D5" s="27" t="s">
        <v>218</v>
      </c>
      <c r="E5" s="27" t="s">
        <v>301</v>
      </c>
    </row>
    <row r="6" spans="1:5" x14ac:dyDescent="0.3">
      <c r="A6" s="27" t="s">
        <v>302</v>
      </c>
      <c r="B6" s="27" t="s">
        <v>303</v>
      </c>
      <c r="C6">
        <f>1/(2*(C4*C5)^0.5)</f>
        <v>22.419964852782442</v>
      </c>
      <c r="D6" s="27" t="s">
        <v>218</v>
      </c>
      <c r="E6" s="27" t="s">
        <v>304</v>
      </c>
    </row>
    <row r="7" spans="1:5" x14ac:dyDescent="0.3">
      <c r="A7" s="27" t="s">
        <v>305</v>
      </c>
      <c r="B7" s="27" t="s">
        <v>306</v>
      </c>
      <c r="C7">
        <f>C6</f>
        <v>22.419964852782442</v>
      </c>
      <c r="D7" s="27" t="s">
        <v>218</v>
      </c>
      <c r="E7" s="27" t="s">
        <v>307</v>
      </c>
    </row>
    <row r="8" spans="1:5" x14ac:dyDescent="0.3">
      <c r="A8" s="27" t="s">
        <v>308</v>
      </c>
      <c r="B8" s="27" t="s">
        <v>309</v>
      </c>
      <c r="C8">
        <f>0.866*C6</f>
        <v>19.415689562509595</v>
      </c>
      <c r="D8" s="27" t="s">
        <v>218</v>
      </c>
      <c r="E8" s="27" t="s">
        <v>310</v>
      </c>
    </row>
    <row r="9" spans="1:5" x14ac:dyDescent="0.3">
      <c r="A9" s="27" t="s">
        <v>311</v>
      </c>
      <c r="B9" s="27" t="s">
        <v>312</v>
      </c>
      <c r="C9" s="27">
        <v>1.2250000000000001</v>
      </c>
      <c r="D9" s="27" t="s">
        <v>313</v>
      </c>
      <c r="E9" s="27" t="s">
        <v>314</v>
      </c>
    </row>
    <row r="10" spans="1:5" x14ac:dyDescent="0.3">
      <c r="A10" s="27" t="s">
        <v>315</v>
      </c>
      <c r="B10" s="27" t="s">
        <v>316</v>
      </c>
      <c r="C10" s="27">
        <v>0.69798158399999999</v>
      </c>
      <c r="D10" s="27" t="s">
        <v>313</v>
      </c>
      <c r="E10" s="27" t="s">
        <v>317</v>
      </c>
    </row>
    <row r="11" spans="1:5" x14ac:dyDescent="0.3">
      <c r="A11" s="27" t="s">
        <v>318</v>
      </c>
      <c r="B11" s="27" t="s">
        <v>319</v>
      </c>
      <c r="C11">
        <f>C10/C9</f>
        <v>0.56978088489795908</v>
      </c>
      <c r="D11" s="27" t="s">
        <v>218</v>
      </c>
      <c r="E11" s="27" t="s">
        <v>320</v>
      </c>
    </row>
    <row r="12" spans="1:5" x14ac:dyDescent="0.3">
      <c r="A12" s="27" t="s">
        <v>321</v>
      </c>
      <c r="B12" s="27" t="s">
        <v>322</v>
      </c>
      <c r="C12" s="27">
        <v>70</v>
      </c>
      <c r="D12" s="27" t="s">
        <v>323</v>
      </c>
      <c r="E12" s="27" t="s">
        <v>324</v>
      </c>
    </row>
    <row r="13" spans="1:5" x14ac:dyDescent="0.3">
      <c r="A13" s="27" t="s">
        <v>321</v>
      </c>
      <c r="B13" s="27" t="s">
        <v>322</v>
      </c>
      <c r="C13">
        <f>C12*0.514444</f>
        <v>36.01108</v>
      </c>
      <c r="D13" s="27" t="s">
        <v>48</v>
      </c>
      <c r="E13" s="27" t="s">
        <v>325</v>
      </c>
    </row>
    <row r="14" spans="1:5" x14ac:dyDescent="0.3">
      <c r="A14" s="27" t="s">
        <v>326</v>
      </c>
      <c r="B14" s="27" t="s">
        <v>327</v>
      </c>
      <c r="C14">
        <f>C13/(C11^0.5)</f>
        <v>47.707011139001871</v>
      </c>
      <c r="D14" s="27" t="s">
        <v>48</v>
      </c>
      <c r="E14" s="27" t="s">
        <v>328</v>
      </c>
    </row>
    <row r="15" spans="1:5" x14ac:dyDescent="0.3">
      <c r="A15" s="27" t="s">
        <v>326</v>
      </c>
      <c r="B15" s="27" t="s">
        <v>327</v>
      </c>
      <c r="C15" s="28">
        <f>C14/0.514444</f>
        <v>92.735090970060625</v>
      </c>
      <c r="D15" s="27" t="s">
        <v>329</v>
      </c>
      <c r="E15" s="27"/>
    </row>
    <row r="16" spans="1:5" x14ac:dyDescent="0.3">
      <c r="A16" s="27" t="s">
        <v>330</v>
      </c>
      <c r="B16" s="27" t="s">
        <v>331</v>
      </c>
      <c r="C16">
        <f>C12/(3^(1/4))</f>
        <v>53.188497995611471</v>
      </c>
      <c r="D16" s="27" t="s">
        <v>323</v>
      </c>
      <c r="E16" s="27" t="s">
        <v>332</v>
      </c>
    </row>
    <row r="17" spans="1:5" x14ac:dyDescent="0.3">
      <c r="A17" s="27" t="s">
        <v>333</v>
      </c>
      <c r="B17" s="27" t="s">
        <v>334</v>
      </c>
      <c r="C17">
        <f>C16/(3^(1/4))</f>
        <v>40.414518843273797</v>
      </c>
      <c r="D17" s="27" t="s">
        <v>323</v>
      </c>
      <c r="E17" s="27" t="s">
        <v>335</v>
      </c>
    </row>
    <row r="18" spans="1:5" x14ac:dyDescent="0.3">
      <c r="A18" s="27" t="s">
        <v>336</v>
      </c>
      <c r="B18" s="27" t="s">
        <v>337</v>
      </c>
      <c r="C18">
        <f>C16*0.514444/(C11^0.5)</f>
        <v>36.249489519191641</v>
      </c>
      <c r="D18" s="27" t="s">
        <v>48</v>
      </c>
      <c r="E18" s="27" t="s">
        <v>338</v>
      </c>
    </row>
    <row r="19" spans="1:5" x14ac:dyDescent="0.3">
      <c r="A19" s="27" t="s">
        <v>339</v>
      </c>
      <c r="B19" s="27" t="s">
        <v>340</v>
      </c>
      <c r="C19">
        <f>C17*0.514444/(C11^0.5)</f>
        <v>27.543655723335199</v>
      </c>
      <c r="D19" s="27" t="s">
        <v>48</v>
      </c>
      <c r="E19" s="27" t="s">
        <v>341</v>
      </c>
    </row>
    <row r="20" spans="1:5" x14ac:dyDescent="0.3">
      <c r="A20" s="27" t="s">
        <v>336</v>
      </c>
      <c r="B20" s="27" t="s">
        <v>337</v>
      </c>
      <c r="C20" s="28">
        <f>C18/0.514444</f>
        <v>70.463431431198813</v>
      </c>
      <c r="D20" s="27" t="s">
        <v>329</v>
      </c>
      <c r="E20" s="27"/>
    </row>
    <row r="21" spans="1:5" x14ac:dyDescent="0.3">
      <c r="A21" s="27" t="s">
        <v>339</v>
      </c>
      <c r="B21" s="27" t="s">
        <v>340</v>
      </c>
      <c r="C21" s="28">
        <f>C19/0.514444</f>
        <v>53.540629734888924</v>
      </c>
      <c r="D21" s="27" t="s">
        <v>329</v>
      </c>
      <c r="E21" s="2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5AB1-85B9-4CA6-BD16-3D50624630EB}">
  <dimension ref="A1:E32"/>
  <sheetViews>
    <sheetView zoomScale="58" workbookViewId="0">
      <selection activeCell="D35" sqref="D35"/>
    </sheetView>
  </sheetViews>
  <sheetFormatPr defaultRowHeight="14.4" x14ac:dyDescent="0.3"/>
  <cols>
    <col min="1" max="1" width="67.5546875" customWidth="1"/>
    <col min="2" max="2" width="50.44140625" customWidth="1"/>
    <col min="3" max="3" width="23.5546875" customWidth="1"/>
    <col min="4" max="4" width="24" customWidth="1"/>
    <col min="5" max="5" width="53.109375" customWidth="1"/>
  </cols>
  <sheetData>
    <row r="1" spans="1:5" x14ac:dyDescent="0.3">
      <c r="A1" s="30" t="s">
        <v>74</v>
      </c>
      <c r="B1" s="27" t="s">
        <v>213</v>
      </c>
      <c r="C1" s="31" t="s">
        <v>14</v>
      </c>
      <c r="D1" s="27" t="s">
        <v>15</v>
      </c>
      <c r="E1" s="27" t="s">
        <v>16</v>
      </c>
    </row>
    <row r="2" spans="1:5" x14ac:dyDescent="0.3">
      <c r="A2" s="30" t="s">
        <v>342</v>
      </c>
      <c r="B2" s="27" t="s">
        <v>343</v>
      </c>
      <c r="C2" s="31">
        <v>0.8</v>
      </c>
      <c r="D2" s="27" t="s">
        <v>218</v>
      </c>
      <c r="E2" s="27" t="s">
        <v>344</v>
      </c>
    </row>
    <row r="3" spans="1:5" x14ac:dyDescent="0.3">
      <c r="A3" s="30" t="s">
        <v>345</v>
      </c>
      <c r="B3" s="27" t="s">
        <v>346</v>
      </c>
      <c r="C3" s="31">
        <v>9.8066499999999994</v>
      </c>
      <c r="D3" s="27" t="s">
        <v>347</v>
      </c>
      <c r="E3" s="27" t="s">
        <v>348</v>
      </c>
    </row>
    <row r="4" spans="1:5" x14ac:dyDescent="0.3">
      <c r="A4" s="30" t="s">
        <v>349</v>
      </c>
      <c r="B4" s="27" t="s">
        <v>250</v>
      </c>
      <c r="C4" s="31">
        <v>0.4</v>
      </c>
      <c r="D4" s="27" t="s">
        <v>251</v>
      </c>
      <c r="E4" s="27" t="s">
        <v>350</v>
      </c>
    </row>
    <row r="5" spans="1:5" x14ac:dyDescent="0.3">
      <c r="A5" s="30" t="s">
        <v>351</v>
      </c>
      <c r="B5" s="27" t="s">
        <v>256</v>
      </c>
      <c r="C5" s="31">
        <v>0.5</v>
      </c>
      <c r="D5" s="27" t="s">
        <v>251</v>
      </c>
      <c r="E5" s="27" t="s">
        <v>352</v>
      </c>
    </row>
    <row r="6" spans="1:5" x14ac:dyDescent="0.3">
      <c r="A6" s="30" t="s">
        <v>353</v>
      </c>
      <c r="B6" s="27" t="s">
        <v>354</v>
      </c>
      <c r="C6" s="31">
        <f>0.45359237/(745.7*3600)</f>
        <v>1.689659119693651E-7</v>
      </c>
      <c r="D6" s="27" t="s">
        <v>355</v>
      </c>
      <c r="E6" s="27" t="s">
        <v>356</v>
      </c>
    </row>
    <row r="7" spans="1:5" x14ac:dyDescent="0.3">
      <c r="A7" s="30" t="s">
        <v>357</v>
      </c>
      <c r="B7" s="27" t="s">
        <v>358</v>
      </c>
      <c r="C7" s="31">
        <f>C4*C6</f>
        <v>6.7586364787746045E-8</v>
      </c>
      <c r="D7" s="27" t="s">
        <v>355</v>
      </c>
      <c r="E7" s="27" t="s">
        <v>359</v>
      </c>
    </row>
    <row r="8" spans="1:5" x14ac:dyDescent="0.3">
      <c r="A8" s="30" t="s">
        <v>360</v>
      </c>
      <c r="B8" s="27" t="s">
        <v>361</v>
      </c>
      <c r="C8" s="31">
        <f>C5*C6</f>
        <v>8.4482955984682549E-8</v>
      </c>
      <c r="D8" s="27" t="s">
        <v>355</v>
      </c>
      <c r="E8" s="27" t="s">
        <v>362</v>
      </c>
    </row>
    <row r="9" spans="1:5" x14ac:dyDescent="0.3">
      <c r="A9" s="30" t="s">
        <v>363</v>
      </c>
      <c r="B9" s="27" t="s">
        <v>306</v>
      </c>
      <c r="C9" s="31">
        <f>'06_LD_and_Speeds'!C7</f>
        <v>22.419964852782442</v>
      </c>
      <c r="D9" s="27" t="s">
        <v>218</v>
      </c>
      <c r="E9" s="27" t="s">
        <v>364</v>
      </c>
    </row>
    <row r="10" spans="1:5" x14ac:dyDescent="0.3">
      <c r="A10" s="30" t="s">
        <v>365</v>
      </c>
      <c r="B10" s="27" t="s">
        <v>309</v>
      </c>
      <c r="C10" s="31">
        <f>'06_LD_and_Speeds'!C8</f>
        <v>19.415689562509595</v>
      </c>
      <c r="D10" s="27" t="s">
        <v>218</v>
      </c>
      <c r="E10" s="27" t="s">
        <v>366</v>
      </c>
    </row>
    <row r="11" spans="1:5" x14ac:dyDescent="0.3">
      <c r="A11" s="30" t="s">
        <v>367</v>
      </c>
      <c r="B11" s="27" t="s">
        <v>368</v>
      </c>
      <c r="C11" s="31">
        <f>'06_LD_and_Speeds'!C14</f>
        <v>47.707011139001871</v>
      </c>
      <c r="D11" s="27" t="s">
        <v>48</v>
      </c>
      <c r="E11" s="27" t="s">
        <v>369</v>
      </c>
    </row>
    <row r="12" spans="1:5" x14ac:dyDescent="0.3">
      <c r="A12" s="30" t="s">
        <v>370</v>
      </c>
      <c r="B12" s="27" t="s">
        <v>371</v>
      </c>
      <c r="C12" s="31">
        <f>'06_LD_and_Speeds'!C18</f>
        <v>36.249489519191641</v>
      </c>
      <c r="D12" s="27" t="s">
        <v>48</v>
      </c>
      <c r="E12" s="27" t="s">
        <v>372</v>
      </c>
    </row>
    <row r="13" spans="1:5" x14ac:dyDescent="0.3">
      <c r="A13" s="30" t="s">
        <v>373</v>
      </c>
      <c r="B13" s="27" t="s">
        <v>374</v>
      </c>
      <c r="C13" s="31">
        <f>'06_LD_and_Speeds'!C14</f>
        <v>47.707011139001871</v>
      </c>
      <c r="D13" s="27" t="s">
        <v>48</v>
      </c>
      <c r="E13" s="27" t="s">
        <v>375</v>
      </c>
    </row>
    <row r="14" spans="1:5" x14ac:dyDescent="0.3">
      <c r="A14" s="30" t="s">
        <v>376</v>
      </c>
      <c r="B14" s="27" t="s">
        <v>377</v>
      </c>
      <c r="C14" s="31">
        <f>'06_LD_and_Speeds'!C19</f>
        <v>27.543655723335199</v>
      </c>
      <c r="D14" s="27" t="s">
        <v>48</v>
      </c>
      <c r="E14" s="27" t="s">
        <v>419</v>
      </c>
    </row>
    <row r="15" spans="1:5" x14ac:dyDescent="0.3">
      <c r="A15" s="30" t="s">
        <v>378</v>
      </c>
      <c r="B15" s="27" t="s">
        <v>117</v>
      </c>
      <c r="C15" s="31">
        <v>24</v>
      </c>
      <c r="D15" s="27" t="s">
        <v>30</v>
      </c>
      <c r="E15" s="27" t="s">
        <v>379</v>
      </c>
    </row>
    <row r="16" spans="1:5" x14ac:dyDescent="0.3">
      <c r="A16" s="30" t="s">
        <v>378</v>
      </c>
      <c r="B16" s="27" t="s">
        <v>117</v>
      </c>
      <c r="C16" s="31">
        <f>C15*3600</f>
        <v>86400</v>
      </c>
      <c r="D16" s="27" t="s">
        <v>380</v>
      </c>
      <c r="E16" s="27" t="s">
        <v>381</v>
      </c>
    </row>
    <row r="17" spans="1:5" x14ac:dyDescent="0.3">
      <c r="A17" s="30" t="s">
        <v>35</v>
      </c>
      <c r="B17" s="27" t="s">
        <v>131</v>
      </c>
      <c r="C17" s="31">
        <v>4000000</v>
      </c>
      <c r="D17" s="27" t="s">
        <v>40</v>
      </c>
      <c r="E17" s="27" t="s">
        <v>382</v>
      </c>
    </row>
    <row r="18" spans="1:5" x14ac:dyDescent="0.3">
      <c r="A18" s="30" t="s">
        <v>383</v>
      </c>
      <c r="B18" s="27" t="s">
        <v>4</v>
      </c>
      <c r="C18" s="31">
        <v>0.97499999999999998</v>
      </c>
      <c r="D18" s="27" t="s">
        <v>218</v>
      </c>
      <c r="E18" s="27" t="s">
        <v>384</v>
      </c>
    </row>
    <row r="19" spans="1:5" x14ac:dyDescent="0.3">
      <c r="A19" s="30" t="s">
        <v>385</v>
      </c>
      <c r="B19" s="27" t="s">
        <v>5</v>
      </c>
      <c r="C19" s="31">
        <v>0.98</v>
      </c>
      <c r="D19" s="27" t="s">
        <v>218</v>
      </c>
      <c r="E19" s="27" t="s">
        <v>386</v>
      </c>
    </row>
    <row r="20" spans="1:5" x14ac:dyDescent="0.3">
      <c r="A20" s="30" t="s">
        <v>387</v>
      </c>
      <c r="B20" s="27" t="s">
        <v>6</v>
      </c>
      <c r="C20" s="31">
        <v>0.99</v>
      </c>
      <c r="D20" s="27" t="s">
        <v>218</v>
      </c>
      <c r="E20" s="27" t="s">
        <v>388</v>
      </c>
    </row>
    <row r="21" spans="1:5" x14ac:dyDescent="0.3">
      <c r="A21" s="30" t="s">
        <v>389</v>
      </c>
      <c r="B21" s="27" t="s">
        <v>7</v>
      </c>
      <c r="C21" s="31">
        <v>0.995</v>
      </c>
      <c r="D21" s="27" t="s">
        <v>218</v>
      </c>
      <c r="E21" s="27" t="s">
        <v>390</v>
      </c>
    </row>
    <row r="22" spans="1:5" x14ac:dyDescent="0.3">
      <c r="A22" s="27" t="s">
        <v>391</v>
      </c>
      <c r="B22" s="27"/>
      <c r="C22" s="31">
        <v>1.05</v>
      </c>
      <c r="D22" s="27"/>
      <c r="E22" s="27" t="s">
        <v>286</v>
      </c>
    </row>
    <row r="23" spans="1:5" x14ac:dyDescent="0.3">
      <c r="A23" s="32" t="s">
        <v>417</v>
      </c>
      <c r="B23" s="32" t="s">
        <v>213</v>
      </c>
      <c r="C23" s="32" t="s">
        <v>14</v>
      </c>
      <c r="D23" s="32" t="s">
        <v>15</v>
      </c>
      <c r="E23" s="32" t="s">
        <v>418</v>
      </c>
    </row>
    <row r="24" spans="1:5" x14ac:dyDescent="0.3">
      <c r="A24" s="14" t="s">
        <v>392</v>
      </c>
      <c r="B24" s="14" t="s">
        <v>393</v>
      </c>
      <c r="C24" s="33">
        <f>2.718281828^(-(C16*$C$3*$C$8*$C$13)/($C$2*$C$10))</f>
        <v>0.80263250029131006</v>
      </c>
      <c r="D24" s="14" t="s">
        <v>394</v>
      </c>
      <c r="E24" s="14" t="s">
        <v>395</v>
      </c>
    </row>
    <row r="25" spans="1:5" x14ac:dyDescent="0.3">
      <c r="A25" s="14" t="s">
        <v>396</v>
      </c>
      <c r="B25" s="14" t="s">
        <v>393</v>
      </c>
      <c r="C25" s="14">
        <f>2.718281828^(-($C$17*$C$3*$C$7)/($C$2*$C$9))</f>
        <v>0.86259175612256944</v>
      </c>
      <c r="D25" s="14" t="s">
        <v>394</v>
      </c>
      <c r="E25" s="14" t="s">
        <v>397</v>
      </c>
    </row>
    <row r="26" spans="1:5" x14ac:dyDescent="0.3">
      <c r="A26" s="14" t="s">
        <v>398</v>
      </c>
      <c r="B26" s="14" t="s">
        <v>399</v>
      </c>
      <c r="C26" s="14">
        <f>($C$2*$C$9/($C$3*$C$7))*LN(1/C24)/1000</f>
        <v>5949.6041595174438</v>
      </c>
      <c r="D26" s="14" t="s">
        <v>33</v>
      </c>
      <c r="E26" s="14" t="s">
        <v>400</v>
      </c>
    </row>
    <row r="27" spans="1:5" ht="15" x14ac:dyDescent="0.3">
      <c r="A27" s="14" t="s">
        <v>401</v>
      </c>
      <c r="B27" s="14" t="s">
        <v>402</v>
      </c>
      <c r="C27" s="34">
        <f>($C$2*$C$10/($C$3*$C$8*$C$13))*LN(1/C25)/3600</f>
        <v>16.13552723738896</v>
      </c>
      <c r="D27" s="14" t="s">
        <v>30</v>
      </c>
      <c r="E27" s="14" t="s">
        <v>403</v>
      </c>
    </row>
    <row r="28" spans="1:5" ht="15" x14ac:dyDescent="0.3">
      <c r="A28" s="14" t="s">
        <v>404</v>
      </c>
      <c r="B28" s="14" t="s">
        <v>405</v>
      </c>
      <c r="C28" s="34">
        <f>$C$18*$C$19*C24*$C$20*$C$21</f>
        <v>0.75544996948562293</v>
      </c>
      <c r="D28" s="14" t="s">
        <v>218</v>
      </c>
      <c r="E28" s="14" t="s">
        <v>406</v>
      </c>
    </row>
    <row r="29" spans="1:5" x14ac:dyDescent="0.3">
      <c r="A29" s="14" t="s">
        <v>407</v>
      </c>
      <c r="B29" s="14" t="s">
        <v>405</v>
      </c>
      <c r="C29" s="14">
        <f>$C$18*$C$19*C25*$C$20*$C$21</f>
        <v>0.8118845369516372</v>
      </c>
      <c r="D29" s="14" t="s">
        <v>218</v>
      </c>
      <c r="E29" s="14" t="s">
        <v>408</v>
      </c>
    </row>
    <row r="30" spans="1:5" x14ac:dyDescent="0.3">
      <c r="A30" s="14" t="s">
        <v>409</v>
      </c>
      <c r="B30" s="14" t="s">
        <v>410</v>
      </c>
      <c r="C30" s="14">
        <f>$C$22*(1-C28)</f>
        <v>0.25677753204009596</v>
      </c>
      <c r="D30" s="14" t="s">
        <v>218</v>
      </c>
      <c r="E30" s="14" t="s">
        <v>411</v>
      </c>
    </row>
    <row r="31" spans="1:5" x14ac:dyDescent="0.3">
      <c r="A31" s="14" t="s">
        <v>412</v>
      </c>
      <c r="B31" s="14" t="s">
        <v>413</v>
      </c>
      <c r="C31" s="14">
        <f>$C$22*(1-C29)</f>
        <v>0.19752123620078094</v>
      </c>
      <c r="D31" s="14" t="s">
        <v>218</v>
      </c>
      <c r="E31" s="14" t="s">
        <v>411</v>
      </c>
    </row>
    <row r="32" spans="1:5" ht="15" x14ac:dyDescent="0.3">
      <c r="A32" s="14" t="s">
        <v>414</v>
      </c>
      <c r="B32" s="14" t="s">
        <v>415</v>
      </c>
      <c r="C32" s="34">
        <f>MAX(C30:C31)</f>
        <v>0.25677753204009596</v>
      </c>
      <c r="D32" s="14" t="s">
        <v>218</v>
      </c>
      <c r="E32" s="14" t="s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64EC-B2FB-42E1-8816-E77BA7361DF8}">
  <dimension ref="A1:H34"/>
  <sheetViews>
    <sheetView topLeftCell="B1" zoomScale="75" zoomScaleNormal="100" workbookViewId="0">
      <selection activeCell="F18" sqref="F18"/>
    </sheetView>
  </sheetViews>
  <sheetFormatPr defaultRowHeight="14.4" x14ac:dyDescent="0.3"/>
  <cols>
    <col min="1" max="1" width="36.44140625" customWidth="1"/>
    <col min="2" max="2" width="35.44140625" customWidth="1"/>
    <col min="3" max="3" width="34.109375" customWidth="1"/>
    <col min="4" max="4" width="22.6640625" customWidth="1"/>
    <col min="5" max="5" width="34" customWidth="1"/>
    <col min="6" max="6" width="30" customWidth="1"/>
    <col min="7" max="7" width="16.6640625" customWidth="1"/>
    <col min="8" max="8" width="26.88671875" customWidth="1"/>
  </cols>
  <sheetData>
    <row r="1" spans="1:8" x14ac:dyDescent="0.3">
      <c r="A1" s="30" t="s">
        <v>74</v>
      </c>
      <c r="B1" s="30" t="s">
        <v>213</v>
      </c>
      <c r="C1" s="30" t="s">
        <v>14</v>
      </c>
      <c r="D1" s="30" t="s">
        <v>15</v>
      </c>
      <c r="E1" s="30" t="s">
        <v>16</v>
      </c>
      <c r="F1" s="27"/>
    </row>
    <row r="2" spans="1:8" x14ac:dyDescent="0.3">
      <c r="A2" s="36" t="s">
        <v>420</v>
      </c>
      <c r="B2" s="27" t="s">
        <v>11</v>
      </c>
      <c r="C2" s="27">
        <v>150</v>
      </c>
      <c r="D2" s="27" t="s">
        <v>17</v>
      </c>
      <c r="E2" s="27" t="s">
        <v>421</v>
      </c>
      <c r="F2" s="27"/>
    </row>
    <row r="3" spans="1:8" x14ac:dyDescent="0.3">
      <c r="A3" s="36" t="s">
        <v>422</v>
      </c>
      <c r="B3" s="27" t="s">
        <v>295</v>
      </c>
      <c r="C3" s="27">
        <v>0</v>
      </c>
      <c r="D3" s="27" t="s">
        <v>17</v>
      </c>
      <c r="E3" s="27" t="s">
        <v>296</v>
      </c>
      <c r="F3" s="27"/>
    </row>
    <row r="4" spans="1:8" x14ac:dyDescent="0.3">
      <c r="A4" s="36" t="s">
        <v>414</v>
      </c>
      <c r="B4" s="27" t="s">
        <v>0</v>
      </c>
      <c r="C4" s="28">
        <f>'07_Mission_Fractions'!C32</f>
        <v>0.25677753204009596</v>
      </c>
      <c r="D4" s="27" t="s">
        <v>218</v>
      </c>
      <c r="E4" s="27" t="s">
        <v>423</v>
      </c>
      <c r="F4" s="27"/>
    </row>
    <row r="5" spans="1:8" x14ac:dyDescent="0.3">
      <c r="A5" s="36" t="s">
        <v>444</v>
      </c>
      <c r="B5" s="27" t="s">
        <v>88</v>
      </c>
      <c r="C5" s="27">
        <v>2.39</v>
      </c>
      <c r="D5" s="27" t="s">
        <v>218</v>
      </c>
      <c r="E5" s="27" t="s">
        <v>445</v>
      </c>
      <c r="F5" s="27"/>
    </row>
    <row r="6" spans="1:8" x14ac:dyDescent="0.3">
      <c r="A6" s="36" t="s">
        <v>424</v>
      </c>
      <c r="B6" s="27" t="s">
        <v>90</v>
      </c>
      <c r="C6" s="27">
        <v>-0.18</v>
      </c>
      <c r="D6" s="27" t="s">
        <v>218</v>
      </c>
      <c r="E6" s="27" t="s">
        <v>446</v>
      </c>
      <c r="F6" s="27"/>
    </row>
    <row r="7" spans="1:8" x14ac:dyDescent="0.3">
      <c r="A7" s="36" t="s">
        <v>447</v>
      </c>
      <c r="B7" s="27" t="s">
        <v>448</v>
      </c>
      <c r="C7" s="27">
        <v>1</v>
      </c>
      <c r="D7" s="27" t="s">
        <v>218</v>
      </c>
      <c r="E7" s="27" t="s">
        <v>449</v>
      </c>
      <c r="F7" s="27"/>
    </row>
    <row r="8" spans="1:8" x14ac:dyDescent="0.3">
      <c r="A8" s="35"/>
    </row>
    <row r="9" spans="1:8" x14ac:dyDescent="0.3">
      <c r="A9" s="35"/>
    </row>
    <row r="10" spans="1:8" x14ac:dyDescent="0.3">
      <c r="A10" t="s">
        <v>430</v>
      </c>
      <c r="B10" t="s">
        <v>431</v>
      </c>
      <c r="C10" t="s">
        <v>432</v>
      </c>
      <c r="D10" t="s">
        <v>433</v>
      </c>
      <c r="E10" t="s">
        <v>434</v>
      </c>
      <c r="F10" t="s">
        <v>435</v>
      </c>
      <c r="G10" t="s">
        <v>436</v>
      </c>
      <c r="H10" t="s">
        <v>16</v>
      </c>
    </row>
    <row r="11" spans="1:8" x14ac:dyDescent="0.3">
      <c r="A11">
        <v>1200</v>
      </c>
      <c r="B11">
        <f>$C$7*$C$5*(A11^$C$6)</f>
        <v>0.66702986130476671</v>
      </c>
      <c r="C11">
        <f>A11*B11</f>
        <v>800.43583356572003</v>
      </c>
      <c r="D11">
        <f>$C$4</f>
        <v>0.25677753204009596</v>
      </c>
      <c r="E11">
        <f>A11*D11</f>
        <v>308.13303844811514</v>
      </c>
      <c r="F11">
        <f>($C$2+$C$3)/(1-D11-B11)</f>
        <v>1968.6949506653514</v>
      </c>
      <c r="G11">
        <f>F11-A11</f>
        <v>768.69495066535137</v>
      </c>
    </row>
    <row r="12" spans="1:8" x14ac:dyDescent="0.3">
      <c r="A12">
        <v>1400</v>
      </c>
      <c r="B12">
        <f t="shared" ref="B12:B18" si="0">$C$7*$C$5*(A12^$C$6)</f>
        <v>0.648776117667624</v>
      </c>
      <c r="C12">
        <f t="shared" ref="C12:C18" si="1">A12*B12</f>
        <v>908.28656473467356</v>
      </c>
      <c r="D12">
        <f t="shared" ref="D12:D18" si="2">$C$4</f>
        <v>0.25677753204009596</v>
      </c>
      <c r="E12">
        <f t="shared" ref="E12:E18" si="3">A12*D12</f>
        <v>359.48854485613435</v>
      </c>
      <c r="F12">
        <f t="shared" ref="F12:F18" si="4">($C$2+$C$3)/(1-D12-B12)</f>
        <v>1588.2032448665298</v>
      </c>
      <c r="G12">
        <f t="shared" ref="G12:G18" si="5">F12-A12</f>
        <v>188.20324486652976</v>
      </c>
    </row>
    <row r="13" spans="1:8" x14ac:dyDescent="0.3">
      <c r="A13">
        <v>1500</v>
      </c>
      <c r="B13">
        <f t="shared" si="0"/>
        <v>0.64076897289167412</v>
      </c>
      <c r="C13">
        <f t="shared" si="1"/>
        <v>961.15345933751121</v>
      </c>
      <c r="D13">
        <f t="shared" si="2"/>
        <v>0.25677753204009596</v>
      </c>
      <c r="E13">
        <f t="shared" si="3"/>
        <v>385.16629806014396</v>
      </c>
      <c r="F13">
        <f t="shared" si="4"/>
        <v>1464.0788964798719</v>
      </c>
      <c r="G13">
        <f t="shared" si="5"/>
        <v>-35.921103520128099</v>
      </c>
    </row>
    <row r="14" spans="1:8" x14ac:dyDescent="0.3">
      <c r="A14">
        <v>1480</v>
      </c>
      <c r="B14">
        <f t="shared" si="0"/>
        <v>0.64231903461474305</v>
      </c>
      <c r="C14">
        <f t="shared" si="1"/>
        <v>950.63217122981973</v>
      </c>
      <c r="D14">
        <f t="shared" si="2"/>
        <v>0.25677753204009596</v>
      </c>
      <c r="E14">
        <f t="shared" si="3"/>
        <v>380.03074741934199</v>
      </c>
      <c r="F14">
        <f t="shared" si="4"/>
        <v>1486.569832434682</v>
      </c>
      <c r="G14">
        <f t="shared" si="5"/>
        <v>6.5698324346819845</v>
      </c>
    </row>
    <row r="15" spans="1:8" x14ac:dyDescent="0.3">
      <c r="A15">
        <v>1483</v>
      </c>
      <c r="B15">
        <f t="shared" si="0"/>
        <v>0.64208495483626593</v>
      </c>
      <c r="C15">
        <f t="shared" si="1"/>
        <v>952.21198802218237</v>
      </c>
      <c r="D15">
        <f t="shared" si="2"/>
        <v>0.25677753204009596</v>
      </c>
      <c r="E15">
        <f t="shared" si="3"/>
        <v>380.80108001546233</v>
      </c>
      <c r="F15">
        <f t="shared" si="4"/>
        <v>1483.1292105890402</v>
      </c>
      <c r="G15">
        <f t="shared" si="5"/>
        <v>0.12921058904021265</v>
      </c>
    </row>
    <row r="16" spans="1:8" x14ac:dyDescent="0.3">
      <c r="A16">
        <v>1483.1</v>
      </c>
      <c r="B16">
        <f t="shared" si="0"/>
        <v>0.64207716180227914</v>
      </c>
      <c r="C16">
        <f t="shared" si="1"/>
        <v>952.26463866896017</v>
      </c>
      <c r="D16">
        <f t="shared" si="2"/>
        <v>0.25677753204009596</v>
      </c>
      <c r="E16">
        <f t="shared" si="3"/>
        <v>380.82675776866631</v>
      </c>
      <c r="F16">
        <f t="shared" si="4"/>
        <v>1483.0149385898342</v>
      </c>
      <c r="G16">
        <f t="shared" si="5"/>
        <v>-8.5061410165735651E-2</v>
      </c>
    </row>
    <row r="17" spans="1:7" x14ac:dyDescent="0.3">
      <c r="A17">
        <v>1483.06</v>
      </c>
      <c r="B17">
        <f t="shared" si="0"/>
        <v>0.64208027894146713</v>
      </c>
      <c r="C17">
        <f t="shared" si="1"/>
        <v>952.24357848693217</v>
      </c>
      <c r="D17">
        <f t="shared" si="2"/>
        <v>0.25677753204009596</v>
      </c>
      <c r="E17">
        <f t="shared" si="3"/>
        <v>380.81648666738471</v>
      </c>
      <c r="F17">
        <f t="shared" si="4"/>
        <v>1483.0606441853561</v>
      </c>
      <c r="G17">
        <f t="shared" si="5"/>
        <v>6.4418535612276173E-4</v>
      </c>
    </row>
    <row r="18" spans="1:7" x14ac:dyDescent="0.3">
      <c r="A18">
        <v>1483.06</v>
      </c>
      <c r="B18">
        <f t="shared" si="0"/>
        <v>0.64208027894146713</v>
      </c>
      <c r="C18">
        <f t="shared" si="1"/>
        <v>952.24357848693217</v>
      </c>
      <c r="D18">
        <f t="shared" si="2"/>
        <v>0.25677753204009596</v>
      </c>
      <c r="E18">
        <f t="shared" si="3"/>
        <v>380.81648666738471</v>
      </c>
      <c r="F18">
        <f t="shared" si="4"/>
        <v>1483.0606441853561</v>
      </c>
      <c r="G18">
        <f t="shared" si="5"/>
        <v>6.4418535612276173E-4</v>
      </c>
    </row>
    <row r="19" spans="1:7" x14ac:dyDescent="0.3">
      <c r="A19" s="29"/>
      <c r="B19" s="29"/>
      <c r="C19" s="29"/>
      <c r="D19" s="29"/>
      <c r="E19" s="29"/>
      <c r="F19" s="29"/>
      <c r="G19" s="29"/>
    </row>
    <row r="22" spans="1:7" x14ac:dyDescent="0.3">
      <c r="A22" t="s">
        <v>450</v>
      </c>
    </row>
    <row r="23" spans="1:7" x14ac:dyDescent="0.3">
      <c r="A23" t="s">
        <v>74</v>
      </c>
      <c r="B23" t="s">
        <v>213</v>
      </c>
      <c r="C23" t="s">
        <v>14</v>
      </c>
      <c r="D23" t="s">
        <v>15</v>
      </c>
    </row>
    <row r="24" spans="1:7" x14ac:dyDescent="0.3">
      <c r="A24" t="s">
        <v>451</v>
      </c>
      <c r="B24" t="s">
        <v>437</v>
      </c>
      <c r="C24">
        <f>F17</f>
        <v>1483.0606441853561</v>
      </c>
      <c r="D24" t="s">
        <v>17</v>
      </c>
    </row>
    <row r="25" spans="1:7" x14ac:dyDescent="0.3">
      <c r="A25" t="s">
        <v>452</v>
      </c>
      <c r="B25" t="s">
        <v>453</v>
      </c>
      <c r="C25">
        <f>B17</f>
        <v>0.64208027894146713</v>
      </c>
      <c r="D25" t="s">
        <v>218</v>
      </c>
    </row>
    <row r="26" spans="1:7" x14ac:dyDescent="0.3">
      <c r="A26" t="s">
        <v>440</v>
      </c>
      <c r="B26" t="s">
        <v>441</v>
      </c>
      <c r="C26">
        <f>C17</f>
        <v>952.24357848693217</v>
      </c>
      <c r="D26" t="s">
        <v>17</v>
      </c>
    </row>
    <row r="27" spans="1:7" x14ac:dyDescent="0.3">
      <c r="A27" t="s">
        <v>414</v>
      </c>
      <c r="B27" t="s">
        <v>415</v>
      </c>
      <c r="C27">
        <f>D17</f>
        <v>0.25677753204009596</v>
      </c>
      <c r="D27" t="s">
        <v>218</v>
      </c>
    </row>
    <row r="28" spans="1:7" x14ac:dyDescent="0.3">
      <c r="A28" t="s">
        <v>438</v>
      </c>
      <c r="B28" t="s">
        <v>439</v>
      </c>
      <c r="C28">
        <f>E17</f>
        <v>380.81648666738471</v>
      </c>
      <c r="D28" t="s">
        <v>17</v>
      </c>
    </row>
    <row r="29" spans="1:7" x14ac:dyDescent="0.3">
      <c r="A29" s="29" t="s">
        <v>442</v>
      </c>
      <c r="B29" t="s">
        <v>443</v>
      </c>
      <c r="C29">
        <f>$C$2</f>
        <v>150</v>
      </c>
      <c r="D29" t="s">
        <v>17</v>
      </c>
    </row>
    <row r="30" spans="1:7" x14ac:dyDescent="0.3">
      <c r="A30" s="29" t="s">
        <v>428</v>
      </c>
      <c r="B30" t="s">
        <v>429</v>
      </c>
      <c r="C30">
        <f>C25+C27+C26</f>
        <v>953.14243629791372</v>
      </c>
      <c r="D30" t="s">
        <v>17</v>
      </c>
    </row>
    <row r="31" spans="1:7" x14ac:dyDescent="0.3">
      <c r="A31" s="29" t="s">
        <v>454</v>
      </c>
      <c r="B31" t="s">
        <v>455</v>
      </c>
      <c r="C31">
        <f>F17-A17</f>
        <v>6.4418535612276173E-4</v>
      </c>
      <c r="D31" t="s">
        <v>17</v>
      </c>
    </row>
    <row r="32" spans="1:7" x14ac:dyDescent="0.3">
      <c r="A32" s="29"/>
    </row>
    <row r="33" spans="1:1" x14ac:dyDescent="0.3">
      <c r="A33" s="29"/>
    </row>
    <row r="34" spans="1:1" x14ac:dyDescent="0.3">
      <c r="A34" s="2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BB30-CA75-48B4-9E66-3CCC4292561F}">
  <dimension ref="A1:H18"/>
  <sheetViews>
    <sheetView topLeftCell="B1" zoomScale="74" workbookViewId="0">
      <selection activeCell="J27" sqref="J27"/>
    </sheetView>
  </sheetViews>
  <sheetFormatPr defaultRowHeight="14.4" x14ac:dyDescent="0.3"/>
  <cols>
    <col min="1" max="1" width="33.44140625" customWidth="1"/>
    <col min="2" max="2" width="31.5546875" customWidth="1"/>
    <col min="3" max="3" width="32.33203125" customWidth="1"/>
    <col min="4" max="4" width="29.88671875" customWidth="1"/>
    <col min="5" max="5" width="22.44140625" customWidth="1"/>
    <col min="6" max="6" width="48.5546875" customWidth="1"/>
  </cols>
  <sheetData>
    <row r="1" spans="1:8" x14ac:dyDescent="0.3">
      <c r="A1" s="27" t="s">
        <v>456</v>
      </c>
      <c r="B1" s="27"/>
      <c r="C1" s="27"/>
      <c r="D1" s="27"/>
      <c r="E1" s="27"/>
      <c r="F1" s="27"/>
      <c r="G1" s="27"/>
      <c r="H1" s="27"/>
    </row>
    <row r="2" spans="1:8" x14ac:dyDescent="0.3">
      <c r="A2" s="27" t="s">
        <v>457</v>
      </c>
      <c r="B2" s="27" t="s">
        <v>458</v>
      </c>
      <c r="C2" s="27" t="s">
        <v>459</v>
      </c>
      <c r="D2" s="27" t="s">
        <v>46</v>
      </c>
      <c r="E2" s="27" t="s">
        <v>57</v>
      </c>
      <c r="F2" s="27" t="s">
        <v>16</v>
      </c>
      <c r="G2" s="27"/>
      <c r="H2" s="27"/>
    </row>
    <row r="3" spans="1:8" x14ac:dyDescent="0.3">
      <c r="A3" s="27" t="s">
        <v>460</v>
      </c>
      <c r="B3" s="27" t="s">
        <v>461</v>
      </c>
      <c r="C3" s="27" t="s">
        <v>462</v>
      </c>
      <c r="D3" s="27" t="s">
        <v>463</v>
      </c>
      <c r="E3" s="27" t="s">
        <v>110</v>
      </c>
      <c r="F3" s="27" t="s">
        <v>464</v>
      </c>
      <c r="G3" s="27"/>
      <c r="H3" s="27"/>
    </row>
    <row r="4" spans="1:8" x14ac:dyDescent="0.3">
      <c r="A4" s="27" t="s">
        <v>465</v>
      </c>
      <c r="B4" s="27" t="s">
        <v>466</v>
      </c>
      <c r="C4" s="27" t="s">
        <v>462</v>
      </c>
      <c r="D4" s="27" t="s">
        <v>467</v>
      </c>
      <c r="E4" s="27" t="s">
        <v>468</v>
      </c>
      <c r="F4" s="27" t="s">
        <v>469</v>
      </c>
      <c r="G4" s="27"/>
      <c r="H4" s="27"/>
    </row>
    <row r="5" spans="1:8" x14ac:dyDescent="0.3">
      <c r="A5" s="27" t="s">
        <v>470</v>
      </c>
      <c r="B5" s="28">
        <f>'07_Mission_Fractions'!C24</f>
        <v>0.80263250029131006</v>
      </c>
      <c r="C5" s="27" t="s">
        <v>471</v>
      </c>
      <c r="D5" s="27" t="s">
        <v>472</v>
      </c>
      <c r="E5" s="27" t="s">
        <v>86</v>
      </c>
      <c r="F5" s="27" t="s">
        <v>473</v>
      </c>
      <c r="G5" s="27"/>
      <c r="H5" s="27"/>
    </row>
    <row r="6" spans="1:8" x14ac:dyDescent="0.3">
      <c r="A6" s="27" t="s">
        <v>388</v>
      </c>
      <c r="B6" s="27" t="s">
        <v>474</v>
      </c>
      <c r="C6" s="27" t="s">
        <v>462</v>
      </c>
      <c r="D6" s="27" t="s">
        <v>475</v>
      </c>
      <c r="E6" s="27" t="s">
        <v>476</v>
      </c>
      <c r="F6" s="27" t="s">
        <v>477</v>
      </c>
      <c r="G6" s="27"/>
      <c r="H6" s="27"/>
    </row>
    <row r="7" spans="1:8" x14ac:dyDescent="0.3">
      <c r="A7" s="27" t="s">
        <v>478</v>
      </c>
      <c r="B7" s="27" t="s">
        <v>479</v>
      </c>
      <c r="C7" s="27" t="s">
        <v>462</v>
      </c>
      <c r="D7" s="27" t="s">
        <v>480</v>
      </c>
      <c r="E7" s="27" t="s">
        <v>110</v>
      </c>
      <c r="F7" s="27" t="s">
        <v>21</v>
      </c>
      <c r="G7" s="27"/>
      <c r="H7" s="27"/>
    </row>
    <row r="10" spans="1:8" x14ac:dyDescent="0.3">
      <c r="A10" s="37" t="s">
        <v>481</v>
      </c>
      <c r="B10" s="37"/>
      <c r="C10" s="37"/>
      <c r="D10" s="37"/>
      <c r="E10" s="37"/>
      <c r="F10" s="37"/>
    </row>
    <row r="11" spans="1:8" x14ac:dyDescent="0.3">
      <c r="A11" s="37" t="s">
        <v>457</v>
      </c>
      <c r="B11" s="37" t="s">
        <v>458</v>
      </c>
      <c r="C11" s="37" t="s">
        <v>459</v>
      </c>
      <c r="D11" s="37" t="s">
        <v>46</v>
      </c>
      <c r="E11" s="37" t="s">
        <v>57</v>
      </c>
      <c r="F11" s="37" t="s">
        <v>16</v>
      </c>
    </row>
    <row r="12" spans="1:8" x14ac:dyDescent="0.3">
      <c r="A12" s="37" t="s">
        <v>460</v>
      </c>
      <c r="B12" s="37" t="s">
        <v>461</v>
      </c>
      <c r="C12" s="37" t="s">
        <v>462</v>
      </c>
      <c r="D12" s="37" t="s">
        <v>463</v>
      </c>
      <c r="E12" s="37" t="s">
        <v>110</v>
      </c>
      <c r="F12" s="37" t="s">
        <v>464</v>
      </c>
    </row>
    <row r="13" spans="1:8" x14ac:dyDescent="0.3">
      <c r="A13" s="37" t="s">
        <v>465</v>
      </c>
      <c r="B13" s="37" t="s">
        <v>466</v>
      </c>
      <c r="C13" s="37" t="s">
        <v>462</v>
      </c>
      <c r="D13" s="37" t="s">
        <v>467</v>
      </c>
      <c r="E13" s="37" t="s">
        <v>468</v>
      </c>
      <c r="F13" s="37" t="s">
        <v>482</v>
      </c>
    </row>
    <row r="14" spans="1:8" x14ac:dyDescent="0.3">
      <c r="A14" s="37" t="s">
        <v>483</v>
      </c>
      <c r="B14" s="37" t="s">
        <v>484</v>
      </c>
      <c r="C14" s="37" t="s">
        <v>485</v>
      </c>
      <c r="D14" s="37" t="s">
        <v>472</v>
      </c>
      <c r="E14" s="37" t="s">
        <v>86</v>
      </c>
      <c r="F14" s="37" t="s">
        <v>486</v>
      </c>
    </row>
    <row r="15" spans="1:8" x14ac:dyDescent="0.3">
      <c r="A15" s="37" t="s">
        <v>487</v>
      </c>
      <c r="B15" s="37" t="s">
        <v>488</v>
      </c>
      <c r="C15" s="37" t="s">
        <v>489</v>
      </c>
      <c r="D15" s="37" t="s">
        <v>490</v>
      </c>
      <c r="E15" s="37" t="s">
        <v>86</v>
      </c>
      <c r="F15" s="37" t="s">
        <v>491</v>
      </c>
    </row>
    <row r="16" spans="1:8" x14ac:dyDescent="0.3">
      <c r="A16" s="37" t="s">
        <v>492</v>
      </c>
      <c r="B16" s="37" t="s">
        <v>484</v>
      </c>
      <c r="C16" s="37" t="s">
        <v>485</v>
      </c>
      <c r="D16" s="37" t="s">
        <v>472</v>
      </c>
      <c r="E16" s="37" t="s">
        <v>86</v>
      </c>
      <c r="F16" s="37" t="s">
        <v>493</v>
      </c>
    </row>
    <row r="17" spans="1:6" x14ac:dyDescent="0.3">
      <c r="A17" s="37" t="s">
        <v>388</v>
      </c>
      <c r="B17" s="37" t="s">
        <v>494</v>
      </c>
      <c r="C17" s="37" t="s">
        <v>462</v>
      </c>
      <c r="D17" s="37" t="s">
        <v>475</v>
      </c>
      <c r="E17" s="37" t="s">
        <v>476</v>
      </c>
      <c r="F17" s="37" t="s">
        <v>477</v>
      </c>
    </row>
    <row r="18" spans="1:6" x14ac:dyDescent="0.3">
      <c r="A18" s="37" t="s">
        <v>478</v>
      </c>
      <c r="B18" s="37" t="s">
        <v>495</v>
      </c>
      <c r="C18" s="37" t="s">
        <v>462</v>
      </c>
      <c r="D18" s="37" t="s">
        <v>480</v>
      </c>
      <c r="E18" s="37" t="s">
        <v>110</v>
      </c>
      <c r="F18" s="37" t="s">
        <v>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4A9C-F603-45AE-80E0-596D7A2F76C3}">
  <dimension ref="A1:G252"/>
  <sheetViews>
    <sheetView topLeftCell="A7" zoomScale="85" zoomScaleNormal="40" workbookViewId="0">
      <selection activeCell="E30" sqref="E30"/>
    </sheetView>
  </sheetViews>
  <sheetFormatPr defaultRowHeight="14.4" x14ac:dyDescent="0.3"/>
  <cols>
    <col min="1" max="1" width="31.6640625" customWidth="1"/>
    <col min="2" max="2" width="36.33203125" customWidth="1"/>
    <col min="3" max="3" width="25.44140625" customWidth="1"/>
    <col min="4" max="4" width="23.109375" customWidth="1"/>
    <col min="5" max="5" width="19.88671875" customWidth="1"/>
    <col min="6" max="6" width="21.33203125" customWidth="1"/>
    <col min="7" max="7" width="22.5546875" customWidth="1"/>
    <col min="8" max="8" width="18.33203125" customWidth="1"/>
  </cols>
  <sheetData>
    <row r="1" spans="1:6" x14ac:dyDescent="0.3">
      <c r="A1" s="29" t="s">
        <v>135</v>
      </c>
      <c r="B1" s="29" t="s">
        <v>496</v>
      </c>
      <c r="C1" s="29" t="s">
        <v>497</v>
      </c>
      <c r="D1" s="29" t="s">
        <v>0</v>
      </c>
      <c r="E1" s="29" t="s">
        <v>432</v>
      </c>
      <c r="F1" t="s">
        <v>498</v>
      </c>
    </row>
    <row r="2" spans="1:6" x14ac:dyDescent="0.3">
      <c r="A2" s="35" t="s">
        <v>791</v>
      </c>
      <c r="B2">
        <v>1245</v>
      </c>
      <c r="C2">
        <f t="shared" ref="C2:C12" si="0">2.39*(B2^-0.18)</f>
        <v>0.66262439039575038</v>
      </c>
      <c r="D2">
        <f>'07_Mission_Fractions'!C32</f>
        <v>0.25677753204009596</v>
      </c>
      <c r="E2">
        <f t="shared" ref="E2:E12" si="1">B2*C2</f>
        <v>824.96736604270927</v>
      </c>
      <c r="F2">
        <f t="shared" ref="F2:F12" si="2">B2*D2</f>
        <v>319.68802738991945</v>
      </c>
    </row>
    <row r="3" spans="1:6" x14ac:dyDescent="0.3">
      <c r="A3" s="35" t="s">
        <v>792</v>
      </c>
      <c r="B3">
        <v>1293</v>
      </c>
      <c r="C3">
        <f t="shared" si="0"/>
        <v>0.65812769427606277</v>
      </c>
      <c r="D3">
        <f>'07_Mission_Fractions'!C32</f>
        <v>0.25677753204009596</v>
      </c>
      <c r="E3">
        <f t="shared" si="1"/>
        <v>850.95910869894919</v>
      </c>
      <c r="F3">
        <f t="shared" si="2"/>
        <v>332.01334892784405</v>
      </c>
    </row>
    <row r="4" spans="1:6" x14ac:dyDescent="0.3">
      <c r="A4" s="35" t="s">
        <v>793</v>
      </c>
      <c r="B4">
        <v>1341</v>
      </c>
      <c r="C4">
        <f t="shared" si="0"/>
        <v>0.65382379329026952</v>
      </c>
      <c r="D4">
        <f>'07_Mission_Fractions'!C32</f>
        <v>0.25677753204009596</v>
      </c>
      <c r="E4">
        <f t="shared" si="1"/>
        <v>876.77770680225137</v>
      </c>
      <c r="F4">
        <f t="shared" si="2"/>
        <v>344.3386704657687</v>
      </c>
    </row>
    <row r="5" spans="1:6" x14ac:dyDescent="0.3">
      <c r="A5" s="35" t="s">
        <v>795</v>
      </c>
      <c r="B5">
        <v>1389</v>
      </c>
      <c r="C5">
        <f t="shared" si="0"/>
        <v>0.6496979504227679</v>
      </c>
      <c r="D5">
        <f>'07_Mission_Fractions'!C32</f>
        <v>0.25677753204009596</v>
      </c>
      <c r="E5">
        <f t="shared" si="1"/>
        <v>902.43045313722462</v>
      </c>
      <c r="F5">
        <f t="shared" si="2"/>
        <v>356.66399200369329</v>
      </c>
    </row>
    <row r="6" spans="1:6" x14ac:dyDescent="0.3">
      <c r="A6" s="35" t="s">
        <v>794</v>
      </c>
      <c r="B6">
        <v>1436</v>
      </c>
      <c r="C6">
        <f t="shared" si="0"/>
        <v>0.64581793519476416</v>
      </c>
      <c r="D6">
        <f>'07_Mission_Fractions'!C32</f>
        <v>0.25677753204009596</v>
      </c>
      <c r="E6">
        <f t="shared" si="1"/>
        <v>927.39455493968137</v>
      </c>
      <c r="F6">
        <f t="shared" si="2"/>
        <v>368.73253600957781</v>
      </c>
    </row>
    <row r="7" spans="1:6" x14ac:dyDescent="0.3">
      <c r="A7" s="35" t="s">
        <v>796</v>
      </c>
      <c r="B7">
        <v>1483</v>
      </c>
      <c r="C7">
        <f t="shared" si="0"/>
        <v>0.64208495483626593</v>
      </c>
      <c r="D7">
        <f>'07_Mission_Fractions'!C32</f>
        <v>0.25677753204009596</v>
      </c>
      <c r="E7">
        <f t="shared" si="1"/>
        <v>952.21198802218237</v>
      </c>
      <c r="F7">
        <f t="shared" si="2"/>
        <v>380.80108001546233</v>
      </c>
    </row>
    <row r="8" spans="1:6" x14ac:dyDescent="0.3">
      <c r="A8" s="35" t="s">
        <v>797</v>
      </c>
      <c r="B8">
        <v>1528</v>
      </c>
      <c r="C8">
        <f t="shared" si="0"/>
        <v>0.6386393837364861</v>
      </c>
      <c r="D8">
        <f>'07_Mission_Fractions'!C32</f>
        <v>0.25677753204009596</v>
      </c>
      <c r="E8">
        <f t="shared" si="1"/>
        <v>975.84097834935073</v>
      </c>
      <c r="F8">
        <f t="shared" si="2"/>
        <v>392.35606895726664</v>
      </c>
    </row>
    <row r="9" spans="1:6" x14ac:dyDescent="0.3">
      <c r="A9" s="35" t="s">
        <v>798</v>
      </c>
      <c r="B9">
        <v>1574</v>
      </c>
      <c r="C9">
        <f t="shared" si="0"/>
        <v>0.63523884860769975</v>
      </c>
      <c r="D9">
        <f>'07_Mission_Fractions'!C32</f>
        <v>0.25677753204009596</v>
      </c>
      <c r="E9">
        <f t="shared" si="1"/>
        <v>999.86594770851946</v>
      </c>
      <c r="F9">
        <f t="shared" si="2"/>
        <v>404.16783543111103</v>
      </c>
    </row>
    <row r="10" spans="1:6" x14ac:dyDescent="0.3">
      <c r="A10" t="s">
        <v>799</v>
      </c>
      <c r="B10">
        <v>1618</v>
      </c>
      <c r="C10">
        <f t="shared" si="0"/>
        <v>0.63209414543852283</v>
      </c>
      <c r="D10">
        <f>'07_Mission_Fractions'!C32</f>
        <v>0.25677753204009596</v>
      </c>
      <c r="E10">
        <f t="shared" si="1"/>
        <v>1022.72832731953</v>
      </c>
      <c r="F10">
        <f t="shared" si="2"/>
        <v>415.46604684087526</v>
      </c>
    </row>
    <row r="11" spans="1:6" x14ac:dyDescent="0.3">
      <c r="A11" t="s">
        <v>800</v>
      </c>
      <c r="B11">
        <v>1663</v>
      </c>
      <c r="C11">
        <f t="shared" si="0"/>
        <v>0.62898066607651948</v>
      </c>
      <c r="D11">
        <f>'07_Mission_Fractions'!C32</f>
        <v>0.25677753204009596</v>
      </c>
      <c r="E11">
        <f t="shared" si="1"/>
        <v>1045.9948476852519</v>
      </c>
      <c r="F11">
        <f t="shared" si="2"/>
        <v>427.02103578267958</v>
      </c>
    </row>
    <row r="12" spans="1:6" x14ac:dyDescent="0.3">
      <c r="A12" t="s">
        <v>801</v>
      </c>
      <c r="B12">
        <v>1706</v>
      </c>
      <c r="C12">
        <f t="shared" si="0"/>
        <v>0.62609707682418603</v>
      </c>
      <c r="D12">
        <f>'07_Mission_Fractions'!C32</f>
        <v>0.25677753204009596</v>
      </c>
      <c r="E12">
        <f t="shared" si="1"/>
        <v>1068.1216130620614</v>
      </c>
      <c r="F12">
        <f t="shared" si="2"/>
        <v>438.06246966040368</v>
      </c>
    </row>
    <row r="22" spans="1:5" x14ac:dyDescent="0.3">
      <c r="A22" s="29"/>
      <c r="B22" s="29"/>
      <c r="C22" s="29"/>
      <c r="D22" s="29"/>
      <c r="E22" s="29"/>
    </row>
    <row r="23" spans="1:5" x14ac:dyDescent="0.3">
      <c r="A23" s="35"/>
    </row>
    <row r="24" spans="1:5" x14ac:dyDescent="0.3">
      <c r="A24" s="35"/>
    </row>
    <row r="25" spans="1:5" x14ac:dyDescent="0.3">
      <c r="A25" s="35"/>
    </row>
    <row r="26" spans="1:5" x14ac:dyDescent="0.3">
      <c r="A26" s="35"/>
    </row>
    <row r="27" spans="1:5" x14ac:dyDescent="0.3">
      <c r="A27" s="35"/>
    </row>
    <row r="28" spans="1:5" x14ac:dyDescent="0.3">
      <c r="A28" s="35"/>
    </row>
    <row r="29" spans="1:5" x14ac:dyDescent="0.3">
      <c r="A29" s="35"/>
    </row>
    <row r="30" spans="1:5" x14ac:dyDescent="0.3">
      <c r="A30" s="35"/>
    </row>
    <row r="42" spans="1:5" x14ac:dyDescent="0.3">
      <c r="A42" s="29"/>
      <c r="B42" s="29"/>
      <c r="C42" s="29"/>
      <c r="D42" s="29"/>
      <c r="E42" s="29"/>
    </row>
    <row r="43" spans="1:5" x14ac:dyDescent="0.3">
      <c r="A43" s="35"/>
    </row>
    <row r="44" spans="1:5" x14ac:dyDescent="0.3">
      <c r="A44" s="35"/>
    </row>
    <row r="45" spans="1:5" x14ac:dyDescent="0.3">
      <c r="A45" s="35"/>
    </row>
    <row r="46" spans="1:5" x14ac:dyDescent="0.3">
      <c r="A46" s="35"/>
    </row>
    <row r="47" spans="1:5" x14ac:dyDescent="0.3">
      <c r="A47" s="35"/>
    </row>
    <row r="48" spans="1:5" x14ac:dyDescent="0.3">
      <c r="A48" s="35"/>
    </row>
    <row r="49" spans="1:5" x14ac:dyDescent="0.3">
      <c r="A49" s="35"/>
    </row>
    <row r="50" spans="1:5" x14ac:dyDescent="0.3">
      <c r="A50" s="35"/>
    </row>
    <row r="64" spans="1:5" x14ac:dyDescent="0.3">
      <c r="A64" s="29"/>
      <c r="B64" s="29"/>
      <c r="C64" s="29"/>
      <c r="D64" s="29"/>
      <c r="E64" s="29"/>
    </row>
    <row r="65" spans="1:1" x14ac:dyDescent="0.3">
      <c r="A65" s="35"/>
    </row>
    <row r="66" spans="1:1" x14ac:dyDescent="0.3">
      <c r="A66" s="35"/>
    </row>
    <row r="67" spans="1:1" x14ac:dyDescent="0.3">
      <c r="A67" s="35"/>
    </row>
    <row r="68" spans="1:1" x14ac:dyDescent="0.3">
      <c r="A68" s="35"/>
    </row>
    <row r="69" spans="1:1" x14ac:dyDescent="0.3">
      <c r="A69" s="35"/>
    </row>
    <row r="70" spans="1:1" x14ac:dyDescent="0.3">
      <c r="A70" s="35"/>
    </row>
    <row r="71" spans="1:1" x14ac:dyDescent="0.3">
      <c r="A71" s="35"/>
    </row>
    <row r="72" spans="1:1" x14ac:dyDescent="0.3">
      <c r="A72" s="35"/>
    </row>
    <row r="85" spans="1:7" x14ac:dyDescent="0.3">
      <c r="A85" s="29"/>
      <c r="B85" s="29"/>
      <c r="C85" s="29"/>
      <c r="D85" s="29"/>
      <c r="E85" s="29"/>
    </row>
    <row r="86" spans="1:7" x14ac:dyDescent="0.3">
      <c r="A86" s="35"/>
    </row>
    <row r="87" spans="1:7" x14ac:dyDescent="0.3">
      <c r="A87" s="35"/>
    </row>
    <row r="88" spans="1:7" x14ac:dyDescent="0.3">
      <c r="A88" s="35"/>
    </row>
    <row r="89" spans="1:7" x14ac:dyDescent="0.3">
      <c r="A89" s="35"/>
    </row>
    <row r="90" spans="1:7" x14ac:dyDescent="0.3">
      <c r="A90" s="35"/>
    </row>
    <row r="91" spans="1:7" x14ac:dyDescent="0.3">
      <c r="A91" s="35"/>
    </row>
    <row r="92" spans="1:7" x14ac:dyDescent="0.3">
      <c r="A92" s="35"/>
    </row>
    <row r="93" spans="1:7" x14ac:dyDescent="0.3">
      <c r="A93" s="35"/>
    </row>
    <row r="94" spans="1:7" x14ac:dyDescent="0.3">
      <c r="A94" t="s">
        <v>430</v>
      </c>
      <c r="B94" t="s">
        <v>431</v>
      </c>
      <c r="C94" t="s">
        <v>432</v>
      </c>
      <c r="D94" t="s">
        <v>433</v>
      </c>
      <c r="E94" t="s">
        <v>434</v>
      </c>
      <c r="F94" t="s">
        <v>435</v>
      </c>
      <c r="G94" t="s">
        <v>436</v>
      </c>
    </row>
    <row r="95" spans="1:7" x14ac:dyDescent="0.3">
      <c r="A95">
        <v>800</v>
      </c>
      <c r="B95">
        <f>$C$7*$C$5*(A95^$C$6)</f>
        <v>31.273145941430467</v>
      </c>
      <c r="C95">
        <f>A95*B95</f>
        <v>25018.516753144373</v>
      </c>
      <c r="D95">
        <f>$C$4</f>
        <v>0.65382379329026952</v>
      </c>
      <c r="E95">
        <f>A95*D95</f>
        <v>523.05903463221557</v>
      </c>
      <c r="F95">
        <f>($C$2+$C$3)/(1-D95-B95)</f>
        <v>-4.2705512243866768E-2</v>
      </c>
      <c r="G95">
        <f>F95-A95</f>
        <v>-800.04270551224386</v>
      </c>
    </row>
    <row r="96" spans="1:7" x14ac:dyDescent="0.3">
      <c r="A96">
        <v>1100</v>
      </c>
      <c r="B96">
        <f t="shared" ref="B96:B102" si="3">$C$7*$C$5*(A96^$C$6)</f>
        <v>38.41403560022232</v>
      </c>
      <c r="C96">
        <f t="shared" ref="C96:C102" si="4">A96*B96</f>
        <v>42255.439160244554</v>
      </c>
      <c r="D96">
        <f t="shared" ref="D96:D102" si="5">$C$4</f>
        <v>0.65382379329026952</v>
      </c>
      <c r="E96">
        <f t="shared" ref="E96:E102" si="6">A96*D96</f>
        <v>719.20617261929647</v>
      </c>
      <c r="F96">
        <f t="shared" ref="F96:F102" si="7">($C$2+$C$3)/(1-D96-B96)</f>
        <v>-3.469467697195739E-2</v>
      </c>
      <c r="G96">
        <f t="shared" ref="G96:G102" si="8">F96-A96</f>
        <v>-1100.0346946769719</v>
      </c>
    </row>
    <row r="97" spans="1:7" x14ac:dyDescent="0.3">
      <c r="A97">
        <v>1250</v>
      </c>
      <c r="B97">
        <f t="shared" si="3"/>
        <v>41.719973179822802</v>
      </c>
      <c r="C97">
        <f t="shared" si="4"/>
        <v>52149.966474778499</v>
      </c>
      <c r="D97">
        <f t="shared" si="5"/>
        <v>0.65382379329026952</v>
      </c>
      <c r="E97">
        <f t="shared" si="6"/>
        <v>817.27974161283692</v>
      </c>
      <c r="F97">
        <f t="shared" si="7"/>
        <v>-3.1922428718111351E-2</v>
      </c>
      <c r="G97">
        <f t="shared" si="8"/>
        <v>-1250.0319224287182</v>
      </c>
    </row>
    <row r="98" spans="1:7" x14ac:dyDescent="0.3">
      <c r="A98">
        <v>1240</v>
      </c>
      <c r="B98">
        <f t="shared" si="3"/>
        <v>41.504118643349784</v>
      </c>
      <c r="C98">
        <f t="shared" si="4"/>
        <v>51465.107117753731</v>
      </c>
      <c r="D98">
        <f t="shared" si="5"/>
        <v>0.65382379329026952</v>
      </c>
      <c r="E98">
        <f t="shared" si="6"/>
        <v>810.74150367993423</v>
      </c>
      <c r="F98">
        <f t="shared" si="7"/>
        <v>-3.208984721976868E-2</v>
      </c>
      <c r="G98">
        <f t="shared" si="8"/>
        <v>-1240.0320898472198</v>
      </c>
    </row>
    <row r="99" spans="1:7" x14ac:dyDescent="0.3">
      <c r="A99">
        <v>1245</v>
      </c>
      <c r="B99">
        <f t="shared" si="3"/>
        <v>41.612122670657016</v>
      </c>
      <c r="C99">
        <f t="shared" si="4"/>
        <v>51807.092724967981</v>
      </c>
      <c r="D99">
        <f t="shared" si="5"/>
        <v>0.65382379329026952</v>
      </c>
      <c r="E99">
        <f t="shared" si="6"/>
        <v>814.01062264638551</v>
      </c>
      <c r="F99">
        <f t="shared" si="7"/>
        <v>-3.2005859500295511E-2</v>
      </c>
      <c r="G99">
        <f t="shared" si="8"/>
        <v>-1245.0320058595003</v>
      </c>
    </row>
    <row r="100" spans="1:7" x14ac:dyDescent="0.3">
      <c r="A100">
        <v>1244</v>
      </c>
      <c r="B100">
        <f t="shared" si="3"/>
        <v>41.590534173376568</v>
      </c>
      <c r="C100">
        <f t="shared" si="4"/>
        <v>51738.624511680449</v>
      </c>
      <c r="D100">
        <f t="shared" si="5"/>
        <v>0.65382379329026952</v>
      </c>
      <c r="E100">
        <f t="shared" si="6"/>
        <v>813.35679885309526</v>
      </c>
      <c r="F100">
        <f t="shared" si="7"/>
        <v>-3.2022612298613744E-2</v>
      </c>
      <c r="G100">
        <f t="shared" si="8"/>
        <v>-1244.0320226122985</v>
      </c>
    </row>
    <row r="101" spans="1:7" x14ac:dyDescent="0.3">
      <c r="A101">
        <v>1243</v>
      </c>
      <c r="B101">
        <f t="shared" si="3"/>
        <v>41.568939528710168</v>
      </c>
      <c r="C101">
        <f t="shared" si="4"/>
        <v>51670.191834186735</v>
      </c>
      <c r="D101">
        <f t="shared" si="5"/>
        <v>0.65382379329026952</v>
      </c>
      <c r="E101">
        <f t="shared" si="6"/>
        <v>812.702975059805</v>
      </c>
      <c r="F101">
        <f t="shared" si="7"/>
        <v>-3.2039387421826056E-2</v>
      </c>
      <c r="G101">
        <f t="shared" si="8"/>
        <v>-1243.0320393874217</v>
      </c>
    </row>
    <row r="102" spans="1:7" x14ac:dyDescent="0.3">
      <c r="A102">
        <v>1243.5</v>
      </c>
      <c r="B102">
        <f t="shared" si="3"/>
        <v>41.579737619884938</v>
      </c>
      <c r="C102">
        <f t="shared" si="4"/>
        <v>51704.403730326922</v>
      </c>
      <c r="D102">
        <f t="shared" si="5"/>
        <v>0.65382379329026952</v>
      </c>
      <c r="E102">
        <f t="shared" si="6"/>
        <v>813.02988695645013</v>
      </c>
      <c r="F102">
        <f t="shared" si="7"/>
        <v>-3.2030997066622484E-2</v>
      </c>
      <c r="G102">
        <f t="shared" si="8"/>
        <v>-1243.5320309970666</v>
      </c>
    </row>
    <row r="107" spans="1:7" x14ac:dyDescent="0.3">
      <c r="A107" s="29" t="s">
        <v>74</v>
      </c>
      <c r="B107" s="29" t="s">
        <v>213</v>
      </c>
      <c r="C107" s="29" t="s">
        <v>14</v>
      </c>
      <c r="D107" s="29" t="s">
        <v>15</v>
      </c>
      <c r="E107" s="29" t="s">
        <v>16</v>
      </c>
    </row>
    <row r="108" spans="1:7" x14ac:dyDescent="0.3">
      <c r="A108" s="35" t="s">
        <v>420</v>
      </c>
      <c r="B108" t="s">
        <v>11</v>
      </c>
      <c r="C108">
        <v>160</v>
      </c>
      <c r="D108" t="s">
        <v>17</v>
      </c>
      <c r="E108" t="s">
        <v>421</v>
      </c>
    </row>
    <row r="109" spans="1:7" x14ac:dyDescent="0.3">
      <c r="A109" s="35" t="s">
        <v>422</v>
      </c>
      <c r="B109" t="s">
        <v>295</v>
      </c>
      <c r="C109">
        <v>0</v>
      </c>
      <c r="D109" t="s">
        <v>17</v>
      </c>
      <c r="E109" t="s">
        <v>296</v>
      </c>
    </row>
    <row r="110" spans="1:7" x14ac:dyDescent="0.3">
      <c r="A110" s="35" t="s">
        <v>414</v>
      </c>
      <c r="B110" t="s">
        <v>0</v>
      </c>
      <c r="C110">
        <f>'07_Mission_Fractions'!C138</f>
        <v>0</v>
      </c>
      <c r="D110" t="s">
        <v>218</v>
      </c>
      <c r="E110" t="s">
        <v>423</v>
      </c>
    </row>
    <row r="111" spans="1:7" x14ac:dyDescent="0.3">
      <c r="A111" s="35" t="s">
        <v>444</v>
      </c>
      <c r="B111" t="s">
        <v>88</v>
      </c>
      <c r="C111">
        <v>2.39</v>
      </c>
      <c r="D111" t="s">
        <v>218</v>
      </c>
      <c r="E111" t="s">
        <v>445</v>
      </c>
    </row>
    <row r="112" spans="1:7" x14ac:dyDescent="0.3">
      <c r="A112" s="35" t="s">
        <v>424</v>
      </c>
      <c r="B112" t="s">
        <v>90</v>
      </c>
      <c r="C112">
        <v>-0.18</v>
      </c>
      <c r="D112" t="s">
        <v>218</v>
      </c>
      <c r="E112" t="s">
        <v>446</v>
      </c>
    </row>
    <row r="113" spans="1:7" x14ac:dyDescent="0.3">
      <c r="A113" s="35" t="s">
        <v>447</v>
      </c>
      <c r="B113" t="s">
        <v>448</v>
      </c>
      <c r="C113">
        <v>1</v>
      </c>
      <c r="D113" t="s">
        <v>218</v>
      </c>
      <c r="E113" t="s">
        <v>449</v>
      </c>
    </row>
    <row r="114" spans="1:7" x14ac:dyDescent="0.3">
      <c r="A114" s="35"/>
    </row>
    <row r="115" spans="1:7" x14ac:dyDescent="0.3">
      <c r="A115" s="35"/>
    </row>
    <row r="116" spans="1:7" x14ac:dyDescent="0.3">
      <c r="A116" t="s">
        <v>430</v>
      </c>
      <c r="B116" t="s">
        <v>431</v>
      </c>
      <c r="C116" t="s">
        <v>432</v>
      </c>
      <c r="D116" t="s">
        <v>433</v>
      </c>
      <c r="E116" t="s">
        <v>434</v>
      </c>
      <c r="F116" t="s">
        <v>435</v>
      </c>
      <c r="G116" t="s">
        <v>436</v>
      </c>
    </row>
    <row r="117" spans="1:7" x14ac:dyDescent="0.3">
      <c r="A117">
        <v>800</v>
      </c>
      <c r="B117">
        <f>$C$7*$C$5*(A117^$C$6)</f>
        <v>31.273145941430467</v>
      </c>
      <c r="C117">
        <f>A117*B117</f>
        <v>25018.516753144373</v>
      </c>
      <c r="D117">
        <f>$C$4</f>
        <v>0.65382379329026952</v>
      </c>
      <c r="E117">
        <f>A117*D117</f>
        <v>523.05903463221557</v>
      </c>
      <c r="F117">
        <f>($C$2+$C$3)/(1-D117-B117)</f>
        <v>-4.2705512243866768E-2</v>
      </c>
      <c r="G117">
        <f>F117-A117</f>
        <v>-800.04270551224386</v>
      </c>
    </row>
    <row r="118" spans="1:7" x14ac:dyDescent="0.3">
      <c r="A118">
        <v>1100</v>
      </c>
      <c r="B118">
        <f t="shared" ref="B118:B124" si="9">$C$7*$C$5*(A118^$C$6)</f>
        <v>38.41403560022232</v>
      </c>
      <c r="C118">
        <f t="shared" ref="C118:C124" si="10">A118*B118</f>
        <v>42255.439160244554</v>
      </c>
      <c r="D118">
        <f t="shared" ref="D118:D124" si="11">$C$4</f>
        <v>0.65382379329026952</v>
      </c>
      <c r="E118">
        <f t="shared" ref="E118:E124" si="12">A118*D118</f>
        <v>719.20617261929647</v>
      </c>
      <c r="F118">
        <f t="shared" ref="F118:F124" si="13">($C$2+$C$3)/(1-D118-B118)</f>
        <v>-3.469467697195739E-2</v>
      </c>
      <c r="G118">
        <f t="shared" ref="G118:G124" si="14">F118-A118</f>
        <v>-1100.0346946769719</v>
      </c>
    </row>
    <row r="119" spans="1:7" x14ac:dyDescent="0.3">
      <c r="A119">
        <v>1250</v>
      </c>
      <c r="B119">
        <f t="shared" si="9"/>
        <v>41.719973179822802</v>
      </c>
      <c r="C119">
        <f t="shared" si="10"/>
        <v>52149.966474778499</v>
      </c>
      <c r="D119">
        <f t="shared" si="11"/>
        <v>0.65382379329026952</v>
      </c>
      <c r="E119">
        <f t="shared" si="12"/>
        <v>817.27974161283692</v>
      </c>
      <c r="F119">
        <f t="shared" si="13"/>
        <v>-3.1922428718111351E-2</v>
      </c>
      <c r="G119">
        <f t="shared" si="14"/>
        <v>-1250.0319224287182</v>
      </c>
    </row>
    <row r="120" spans="1:7" x14ac:dyDescent="0.3">
      <c r="A120">
        <v>1240</v>
      </c>
      <c r="B120">
        <f t="shared" si="9"/>
        <v>41.504118643349784</v>
      </c>
      <c r="C120">
        <f t="shared" si="10"/>
        <v>51465.107117753731</v>
      </c>
      <c r="D120">
        <f t="shared" si="11"/>
        <v>0.65382379329026952</v>
      </c>
      <c r="E120">
        <f t="shared" si="12"/>
        <v>810.74150367993423</v>
      </c>
      <c r="F120">
        <f t="shared" si="13"/>
        <v>-3.208984721976868E-2</v>
      </c>
      <c r="G120">
        <f t="shared" si="14"/>
        <v>-1240.0320898472198</v>
      </c>
    </row>
    <row r="121" spans="1:7" x14ac:dyDescent="0.3">
      <c r="A121">
        <v>1245</v>
      </c>
      <c r="B121">
        <f t="shared" si="9"/>
        <v>41.612122670657016</v>
      </c>
      <c r="C121">
        <f t="shared" si="10"/>
        <v>51807.092724967981</v>
      </c>
      <c r="D121">
        <f t="shared" si="11"/>
        <v>0.65382379329026952</v>
      </c>
      <c r="E121">
        <f t="shared" si="12"/>
        <v>814.01062264638551</v>
      </c>
      <c r="F121">
        <f t="shared" si="13"/>
        <v>-3.2005859500295511E-2</v>
      </c>
      <c r="G121">
        <f t="shared" si="14"/>
        <v>-1245.0320058595003</v>
      </c>
    </row>
    <row r="122" spans="1:7" x14ac:dyDescent="0.3">
      <c r="A122">
        <v>1244</v>
      </c>
      <c r="B122">
        <f t="shared" si="9"/>
        <v>41.590534173376568</v>
      </c>
      <c r="C122">
        <f t="shared" si="10"/>
        <v>51738.624511680449</v>
      </c>
      <c r="D122">
        <f t="shared" si="11"/>
        <v>0.65382379329026952</v>
      </c>
      <c r="E122">
        <f t="shared" si="12"/>
        <v>813.35679885309526</v>
      </c>
      <c r="F122">
        <f t="shared" si="13"/>
        <v>-3.2022612298613744E-2</v>
      </c>
      <c r="G122">
        <f t="shared" si="14"/>
        <v>-1244.0320226122985</v>
      </c>
    </row>
    <row r="123" spans="1:7" x14ac:dyDescent="0.3">
      <c r="A123">
        <v>1243</v>
      </c>
      <c r="B123">
        <f t="shared" si="9"/>
        <v>41.568939528710168</v>
      </c>
      <c r="C123">
        <f t="shared" si="10"/>
        <v>51670.191834186735</v>
      </c>
      <c r="D123">
        <f t="shared" si="11"/>
        <v>0.65382379329026952</v>
      </c>
      <c r="E123">
        <f t="shared" si="12"/>
        <v>812.702975059805</v>
      </c>
      <c r="F123">
        <f t="shared" si="13"/>
        <v>-3.2039387421826056E-2</v>
      </c>
      <c r="G123">
        <f t="shared" si="14"/>
        <v>-1243.0320393874217</v>
      </c>
    </row>
    <row r="124" spans="1:7" x14ac:dyDescent="0.3">
      <c r="A124">
        <v>1243.5</v>
      </c>
      <c r="B124">
        <f t="shared" si="9"/>
        <v>41.579737619884938</v>
      </c>
      <c r="C124">
        <f t="shared" si="10"/>
        <v>51704.403730326922</v>
      </c>
      <c r="D124">
        <f t="shared" si="11"/>
        <v>0.65382379329026952</v>
      </c>
      <c r="E124">
        <f t="shared" si="12"/>
        <v>813.02988695645013</v>
      </c>
      <c r="F124">
        <f t="shared" si="13"/>
        <v>-3.2030997066622484E-2</v>
      </c>
      <c r="G124">
        <f t="shared" si="14"/>
        <v>-1243.5320309970666</v>
      </c>
    </row>
    <row r="129" spans="1:7" x14ac:dyDescent="0.3">
      <c r="A129" s="29" t="s">
        <v>74</v>
      </c>
      <c r="B129" s="29" t="s">
        <v>213</v>
      </c>
      <c r="C129" s="29" t="s">
        <v>14</v>
      </c>
      <c r="D129" s="29" t="s">
        <v>15</v>
      </c>
      <c r="E129" s="29" t="s">
        <v>16</v>
      </c>
    </row>
    <row r="130" spans="1:7" x14ac:dyDescent="0.3">
      <c r="A130" s="35" t="s">
        <v>420</v>
      </c>
      <c r="B130" t="s">
        <v>11</v>
      </c>
      <c r="C130">
        <v>170</v>
      </c>
      <c r="D130" t="s">
        <v>17</v>
      </c>
      <c r="E130" t="s">
        <v>421</v>
      </c>
    </row>
    <row r="131" spans="1:7" x14ac:dyDescent="0.3">
      <c r="A131" s="35" t="s">
        <v>422</v>
      </c>
      <c r="B131" t="s">
        <v>295</v>
      </c>
      <c r="C131">
        <v>0</v>
      </c>
      <c r="D131" t="s">
        <v>17</v>
      </c>
      <c r="E131" t="s">
        <v>296</v>
      </c>
    </row>
    <row r="132" spans="1:7" x14ac:dyDescent="0.3">
      <c r="A132" s="35" t="s">
        <v>414</v>
      </c>
      <c r="B132" t="s">
        <v>0</v>
      </c>
      <c r="C132">
        <f>'07_Mission_Fractions'!C160</f>
        <v>0</v>
      </c>
      <c r="D132" t="s">
        <v>218</v>
      </c>
      <c r="E132" t="s">
        <v>423</v>
      </c>
    </row>
    <row r="133" spans="1:7" x14ac:dyDescent="0.3">
      <c r="A133" s="35" t="s">
        <v>444</v>
      </c>
      <c r="B133" t="s">
        <v>88</v>
      </c>
      <c r="C133">
        <v>2.39</v>
      </c>
      <c r="D133" t="s">
        <v>218</v>
      </c>
      <c r="E133" t="s">
        <v>445</v>
      </c>
    </row>
    <row r="134" spans="1:7" x14ac:dyDescent="0.3">
      <c r="A134" s="35" t="s">
        <v>424</v>
      </c>
      <c r="B134" t="s">
        <v>90</v>
      </c>
      <c r="C134">
        <v>-0.18</v>
      </c>
      <c r="D134" t="s">
        <v>218</v>
      </c>
      <c r="E134" t="s">
        <v>446</v>
      </c>
    </row>
    <row r="135" spans="1:7" x14ac:dyDescent="0.3">
      <c r="A135" s="35" t="s">
        <v>447</v>
      </c>
      <c r="B135" t="s">
        <v>448</v>
      </c>
      <c r="C135">
        <v>1</v>
      </c>
      <c r="D135" t="s">
        <v>218</v>
      </c>
      <c r="E135" t="s">
        <v>449</v>
      </c>
    </row>
    <row r="136" spans="1:7" x14ac:dyDescent="0.3">
      <c r="A136" s="35"/>
    </row>
    <row r="137" spans="1:7" x14ac:dyDescent="0.3">
      <c r="A137" s="35"/>
    </row>
    <row r="138" spans="1:7" x14ac:dyDescent="0.3">
      <c r="A138" t="s">
        <v>430</v>
      </c>
      <c r="B138" t="s">
        <v>431</v>
      </c>
      <c r="C138" t="s">
        <v>432</v>
      </c>
      <c r="D138" t="s">
        <v>433</v>
      </c>
      <c r="E138" t="s">
        <v>434</v>
      </c>
      <c r="F138" t="s">
        <v>435</v>
      </c>
      <c r="G138" t="s">
        <v>436</v>
      </c>
    </row>
    <row r="139" spans="1:7" x14ac:dyDescent="0.3">
      <c r="A139">
        <v>800</v>
      </c>
      <c r="B139">
        <f>$C$7*$C$5*(A139^$C$6)</f>
        <v>31.273145941430467</v>
      </c>
      <c r="C139">
        <f>A139*B139</f>
        <v>25018.516753144373</v>
      </c>
      <c r="D139">
        <f>$C$4</f>
        <v>0.65382379329026952</v>
      </c>
      <c r="E139">
        <f>A139*D139</f>
        <v>523.05903463221557</v>
      </c>
      <c r="F139">
        <f>($C$2+$C$3)/(1-D139-B139)</f>
        <v>-4.2705512243866768E-2</v>
      </c>
      <c r="G139">
        <f>F139-A139</f>
        <v>-800.04270551224386</v>
      </c>
    </row>
    <row r="140" spans="1:7" x14ac:dyDescent="0.3">
      <c r="A140">
        <v>1100</v>
      </c>
      <c r="B140">
        <f t="shared" ref="B140:B146" si="15">$C$7*$C$5*(A140^$C$6)</f>
        <v>38.41403560022232</v>
      </c>
      <c r="C140">
        <f t="shared" ref="C140:C146" si="16">A140*B140</f>
        <v>42255.439160244554</v>
      </c>
      <c r="D140">
        <f t="shared" ref="D140:D146" si="17">$C$4</f>
        <v>0.65382379329026952</v>
      </c>
      <c r="E140">
        <f t="shared" ref="E140:E146" si="18">A140*D140</f>
        <v>719.20617261929647</v>
      </c>
      <c r="F140">
        <f t="shared" ref="F140:F146" si="19">($C$2+$C$3)/(1-D140-B140)</f>
        <v>-3.469467697195739E-2</v>
      </c>
      <c r="G140">
        <f t="shared" ref="G140:G146" si="20">F140-A140</f>
        <v>-1100.0346946769719</v>
      </c>
    </row>
    <row r="141" spans="1:7" x14ac:dyDescent="0.3">
      <c r="A141">
        <v>1250</v>
      </c>
      <c r="B141">
        <f t="shared" si="15"/>
        <v>41.719973179822802</v>
      </c>
      <c r="C141">
        <f t="shared" si="16"/>
        <v>52149.966474778499</v>
      </c>
      <c r="D141">
        <f t="shared" si="17"/>
        <v>0.65382379329026952</v>
      </c>
      <c r="E141">
        <f t="shared" si="18"/>
        <v>817.27974161283692</v>
      </c>
      <c r="F141">
        <f t="shared" si="19"/>
        <v>-3.1922428718111351E-2</v>
      </c>
      <c r="G141">
        <f t="shared" si="20"/>
        <v>-1250.0319224287182</v>
      </c>
    </row>
    <row r="142" spans="1:7" x14ac:dyDescent="0.3">
      <c r="A142">
        <v>1240</v>
      </c>
      <c r="B142">
        <f t="shared" si="15"/>
        <v>41.504118643349784</v>
      </c>
      <c r="C142">
        <f t="shared" si="16"/>
        <v>51465.107117753731</v>
      </c>
      <c r="D142">
        <f t="shared" si="17"/>
        <v>0.65382379329026952</v>
      </c>
      <c r="E142">
        <f t="shared" si="18"/>
        <v>810.74150367993423</v>
      </c>
      <c r="F142">
        <f t="shared" si="19"/>
        <v>-3.208984721976868E-2</v>
      </c>
      <c r="G142">
        <f t="shared" si="20"/>
        <v>-1240.0320898472198</v>
      </c>
    </row>
    <row r="143" spans="1:7" x14ac:dyDescent="0.3">
      <c r="A143">
        <v>1245</v>
      </c>
      <c r="B143">
        <f t="shared" si="15"/>
        <v>41.612122670657016</v>
      </c>
      <c r="C143">
        <f t="shared" si="16"/>
        <v>51807.092724967981</v>
      </c>
      <c r="D143">
        <f t="shared" si="17"/>
        <v>0.65382379329026952</v>
      </c>
      <c r="E143">
        <f t="shared" si="18"/>
        <v>814.01062264638551</v>
      </c>
      <c r="F143">
        <f t="shared" si="19"/>
        <v>-3.2005859500295511E-2</v>
      </c>
      <c r="G143">
        <f t="shared" si="20"/>
        <v>-1245.0320058595003</v>
      </c>
    </row>
    <row r="144" spans="1:7" x14ac:dyDescent="0.3">
      <c r="A144">
        <v>1244</v>
      </c>
      <c r="B144">
        <f t="shared" si="15"/>
        <v>41.590534173376568</v>
      </c>
      <c r="C144">
        <f t="shared" si="16"/>
        <v>51738.624511680449</v>
      </c>
      <c r="D144">
        <f t="shared" si="17"/>
        <v>0.65382379329026952</v>
      </c>
      <c r="E144">
        <f t="shared" si="18"/>
        <v>813.35679885309526</v>
      </c>
      <c r="F144">
        <f t="shared" si="19"/>
        <v>-3.2022612298613744E-2</v>
      </c>
      <c r="G144">
        <f t="shared" si="20"/>
        <v>-1244.0320226122985</v>
      </c>
    </row>
    <row r="145" spans="1:7" x14ac:dyDescent="0.3">
      <c r="A145">
        <v>1243</v>
      </c>
      <c r="B145">
        <f t="shared" si="15"/>
        <v>41.568939528710168</v>
      </c>
      <c r="C145">
        <f t="shared" si="16"/>
        <v>51670.191834186735</v>
      </c>
      <c r="D145">
        <f t="shared" si="17"/>
        <v>0.65382379329026952</v>
      </c>
      <c r="E145">
        <f t="shared" si="18"/>
        <v>812.702975059805</v>
      </c>
      <c r="F145">
        <f t="shared" si="19"/>
        <v>-3.2039387421826056E-2</v>
      </c>
      <c r="G145">
        <f t="shared" si="20"/>
        <v>-1243.0320393874217</v>
      </c>
    </row>
    <row r="146" spans="1:7" x14ac:dyDescent="0.3">
      <c r="A146">
        <v>1243.5</v>
      </c>
      <c r="B146">
        <f t="shared" si="15"/>
        <v>41.579737619884938</v>
      </c>
      <c r="C146">
        <f t="shared" si="16"/>
        <v>51704.403730326922</v>
      </c>
      <c r="D146">
        <f t="shared" si="17"/>
        <v>0.65382379329026952</v>
      </c>
      <c r="E146">
        <f t="shared" si="18"/>
        <v>813.02988695645013</v>
      </c>
      <c r="F146">
        <f t="shared" si="19"/>
        <v>-3.2030997066622484E-2</v>
      </c>
      <c r="G146">
        <f t="shared" si="20"/>
        <v>-1243.5320309970666</v>
      </c>
    </row>
    <row r="151" spans="1:7" x14ac:dyDescent="0.3">
      <c r="A151" s="29" t="s">
        <v>74</v>
      </c>
      <c r="B151" s="29" t="s">
        <v>213</v>
      </c>
      <c r="C151" s="29" t="s">
        <v>14</v>
      </c>
      <c r="D151" s="29" t="s">
        <v>15</v>
      </c>
      <c r="E151" s="29" t="s">
        <v>16</v>
      </c>
    </row>
    <row r="152" spans="1:7" x14ac:dyDescent="0.3">
      <c r="A152" s="35" t="s">
        <v>420</v>
      </c>
      <c r="B152" t="s">
        <v>11</v>
      </c>
      <c r="C152">
        <v>180</v>
      </c>
      <c r="D152" t="s">
        <v>17</v>
      </c>
      <c r="E152" t="s">
        <v>421</v>
      </c>
    </row>
    <row r="153" spans="1:7" x14ac:dyDescent="0.3">
      <c r="A153" s="35" t="s">
        <v>422</v>
      </c>
      <c r="B153" t="s">
        <v>295</v>
      </c>
      <c r="C153">
        <v>0</v>
      </c>
      <c r="D153" t="s">
        <v>17</v>
      </c>
      <c r="E153" t="s">
        <v>296</v>
      </c>
    </row>
    <row r="154" spans="1:7" x14ac:dyDescent="0.3">
      <c r="A154" s="35" t="s">
        <v>414</v>
      </c>
      <c r="B154" t="s">
        <v>0</v>
      </c>
      <c r="C154">
        <f>'07_Mission_Fractions'!C182</f>
        <v>0</v>
      </c>
      <c r="D154" t="s">
        <v>218</v>
      </c>
      <c r="E154" t="s">
        <v>423</v>
      </c>
    </row>
    <row r="155" spans="1:7" x14ac:dyDescent="0.3">
      <c r="A155" s="35" t="s">
        <v>444</v>
      </c>
      <c r="B155" t="s">
        <v>88</v>
      </c>
      <c r="C155">
        <v>2.39</v>
      </c>
      <c r="D155" t="s">
        <v>218</v>
      </c>
      <c r="E155" t="s">
        <v>445</v>
      </c>
    </row>
    <row r="156" spans="1:7" x14ac:dyDescent="0.3">
      <c r="A156" s="35" t="s">
        <v>424</v>
      </c>
      <c r="B156" t="s">
        <v>90</v>
      </c>
      <c r="C156">
        <v>-0.18</v>
      </c>
      <c r="D156" t="s">
        <v>218</v>
      </c>
      <c r="E156" t="s">
        <v>446</v>
      </c>
    </row>
    <row r="157" spans="1:7" x14ac:dyDescent="0.3">
      <c r="A157" s="35" t="s">
        <v>447</v>
      </c>
      <c r="B157" t="s">
        <v>448</v>
      </c>
      <c r="C157">
        <v>1</v>
      </c>
      <c r="D157" t="s">
        <v>218</v>
      </c>
      <c r="E157" t="s">
        <v>449</v>
      </c>
    </row>
    <row r="158" spans="1:7" x14ac:dyDescent="0.3">
      <c r="A158" s="35"/>
    </row>
    <row r="159" spans="1:7" x14ac:dyDescent="0.3">
      <c r="A159" s="35"/>
    </row>
    <row r="160" spans="1:7" x14ac:dyDescent="0.3">
      <c r="A160" t="s">
        <v>430</v>
      </c>
      <c r="B160" t="s">
        <v>431</v>
      </c>
      <c r="C160" t="s">
        <v>432</v>
      </c>
      <c r="D160" t="s">
        <v>433</v>
      </c>
      <c r="E160" t="s">
        <v>434</v>
      </c>
      <c r="F160" t="s">
        <v>435</v>
      </c>
      <c r="G160" t="s">
        <v>436</v>
      </c>
    </row>
    <row r="161" spans="1:7" x14ac:dyDescent="0.3">
      <c r="A161">
        <v>800</v>
      </c>
      <c r="B161">
        <f>$C$7*$C$5*(A161^$C$6)</f>
        <v>31.273145941430467</v>
      </c>
      <c r="C161">
        <f>A161*B161</f>
        <v>25018.516753144373</v>
      </c>
      <c r="D161">
        <f>$C$4</f>
        <v>0.65382379329026952</v>
      </c>
      <c r="E161">
        <f>A161*D161</f>
        <v>523.05903463221557</v>
      </c>
      <c r="F161">
        <f>($C$2+$C$3)/(1-D161-B161)</f>
        <v>-4.2705512243866768E-2</v>
      </c>
      <c r="G161">
        <f>F161-A161</f>
        <v>-800.04270551224386</v>
      </c>
    </row>
    <row r="162" spans="1:7" x14ac:dyDescent="0.3">
      <c r="A162">
        <v>1100</v>
      </c>
      <c r="B162">
        <f t="shared" ref="B162:B168" si="21">$C$7*$C$5*(A162^$C$6)</f>
        <v>38.41403560022232</v>
      </c>
      <c r="C162">
        <f t="shared" ref="C162:C168" si="22">A162*B162</f>
        <v>42255.439160244554</v>
      </c>
      <c r="D162">
        <f t="shared" ref="D162:D168" si="23">$C$4</f>
        <v>0.65382379329026952</v>
      </c>
      <c r="E162">
        <f t="shared" ref="E162:E168" si="24">A162*D162</f>
        <v>719.20617261929647</v>
      </c>
      <c r="F162">
        <f t="shared" ref="F162:F168" si="25">($C$2+$C$3)/(1-D162-B162)</f>
        <v>-3.469467697195739E-2</v>
      </c>
      <c r="G162">
        <f t="shared" ref="G162:G168" si="26">F162-A162</f>
        <v>-1100.0346946769719</v>
      </c>
    </row>
    <row r="163" spans="1:7" x14ac:dyDescent="0.3">
      <c r="A163">
        <v>1250</v>
      </c>
      <c r="B163">
        <f t="shared" si="21"/>
        <v>41.719973179822802</v>
      </c>
      <c r="C163">
        <f t="shared" si="22"/>
        <v>52149.966474778499</v>
      </c>
      <c r="D163">
        <f t="shared" si="23"/>
        <v>0.65382379329026952</v>
      </c>
      <c r="E163">
        <f t="shared" si="24"/>
        <v>817.27974161283692</v>
      </c>
      <c r="F163">
        <f t="shared" si="25"/>
        <v>-3.1922428718111351E-2</v>
      </c>
      <c r="G163">
        <f t="shared" si="26"/>
        <v>-1250.0319224287182</v>
      </c>
    </row>
    <row r="164" spans="1:7" x14ac:dyDescent="0.3">
      <c r="A164">
        <v>1240</v>
      </c>
      <c r="B164">
        <f t="shared" si="21"/>
        <v>41.504118643349784</v>
      </c>
      <c r="C164">
        <f t="shared" si="22"/>
        <v>51465.107117753731</v>
      </c>
      <c r="D164">
        <f t="shared" si="23"/>
        <v>0.65382379329026952</v>
      </c>
      <c r="E164">
        <f t="shared" si="24"/>
        <v>810.74150367993423</v>
      </c>
      <c r="F164">
        <f t="shared" si="25"/>
        <v>-3.208984721976868E-2</v>
      </c>
      <c r="G164">
        <f t="shared" si="26"/>
        <v>-1240.0320898472198</v>
      </c>
    </row>
    <row r="165" spans="1:7" x14ac:dyDescent="0.3">
      <c r="A165">
        <v>1245</v>
      </c>
      <c r="B165">
        <f t="shared" si="21"/>
        <v>41.612122670657016</v>
      </c>
      <c r="C165">
        <f t="shared" si="22"/>
        <v>51807.092724967981</v>
      </c>
      <c r="D165">
        <f t="shared" si="23"/>
        <v>0.65382379329026952</v>
      </c>
      <c r="E165">
        <f t="shared" si="24"/>
        <v>814.01062264638551</v>
      </c>
      <c r="F165">
        <f t="shared" si="25"/>
        <v>-3.2005859500295511E-2</v>
      </c>
      <c r="G165">
        <f t="shared" si="26"/>
        <v>-1245.0320058595003</v>
      </c>
    </row>
    <row r="166" spans="1:7" x14ac:dyDescent="0.3">
      <c r="A166">
        <v>1244</v>
      </c>
      <c r="B166">
        <f t="shared" si="21"/>
        <v>41.590534173376568</v>
      </c>
      <c r="C166">
        <f t="shared" si="22"/>
        <v>51738.624511680449</v>
      </c>
      <c r="D166">
        <f t="shared" si="23"/>
        <v>0.65382379329026952</v>
      </c>
      <c r="E166">
        <f t="shared" si="24"/>
        <v>813.35679885309526</v>
      </c>
      <c r="F166">
        <f t="shared" si="25"/>
        <v>-3.2022612298613744E-2</v>
      </c>
      <c r="G166">
        <f t="shared" si="26"/>
        <v>-1244.0320226122985</v>
      </c>
    </row>
    <row r="167" spans="1:7" x14ac:dyDescent="0.3">
      <c r="A167">
        <v>1243</v>
      </c>
      <c r="B167">
        <f t="shared" si="21"/>
        <v>41.568939528710168</v>
      </c>
      <c r="C167">
        <f t="shared" si="22"/>
        <v>51670.191834186735</v>
      </c>
      <c r="D167">
        <f t="shared" si="23"/>
        <v>0.65382379329026952</v>
      </c>
      <c r="E167">
        <f t="shared" si="24"/>
        <v>812.702975059805</v>
      </c>
      <c r="F167">
        <f t="shared" si="25"/>
        <v>-3.2039387421826056E-2</v>
      </c>
      <c r="G167">
        <f t="shared" si="26"/>
        <v>-1243.0320393874217</v>
      </c>
    </row>
    <row r="168" spans="1:7" x14ac:dyDescent="0.3">
      <c r="A168">
        <v>1243.5</v>
      </c>
      <c r="B168">
        <f t="shared" si="21"/>
        <v>41.579737619884938</v>
      </c>
      <c r="C168">
        <f t="shared" si="22"/>
        <v>51704.403730326922</v>
      </c>
      <c r="D168">
        <f t="shared" si="23"/>
        <v>0.65382379329026952</v>
      </c>
      <c r="E168">
        <f t="shared" si="24"/>
        <v>813.02988695645013</v>
      </c>
      <c r="F168">
        <f t="shared" si="25"/>
        <v>-3.2030997066622484E-2</v>
      </c>
      <c r="G168">
        <f t="shared" si="26"/>
        <v>-1243.5320309970666</v>
      </c>
    </row>
    <row r="175" spans="1:7" x14ac:dyDescent="0.3">
      <c r="A175" s="29" t="s">
        <v>74</v>
      </c>
      <c r="B175" s="29" t="s">
        <v>213</v>
      </c>
      <c r="C175" s="29" t="s">
        <v>14</v>
      </c>
      <c r="D175" s="29" t="s">
        <v>15</v>
      </c>
      <c r="E175" s="29" t="s">
        <v>16</v>
      </c>
    </row>
    <row r="176" spans="1:7" x14ac:dyDescent="0.3">
      <c r="A176" s="35" t="s">
        <v>420</v>
      </c>
      <c r="B176" t="s">
        <v>11</v>
      </c>
      <c r="C176">
        <v>190</v>
      </c>
      <c r="D176" t="s">
        <v>17</v>
      </c>
      <c r="E176" t="s">
        <v>421</v>
      </c>
    </row>
    <row r="177" spans="1:7" x14ac:dyDescent="0.3">
      <c r="A177" s="35" t="s">
        <v>422</v>
      </c>
      <c r="B177" t="s">
        <v>295</v>
      </c>
      <c r="C177">
        <v>0</v>
      </c>
      <c r="D177" t="s">
        <v>17</v>
      </c>
      <c r="E177" t="s">
        <v>296</v>
      </c>
    </row>
    <row r="178" spans="1:7" x14ac:dyDescent="0.3">
      <c r="A178" s="35" t="s">
        <v>414</v>
      </c>
      <c r="B178" t="s">
        <v>0</v>
      </c>
      <c r="C178">
        <f>'07_Mission_Fractions'!C206</f>
        <v>0</v>
      </c>
      <c r="D178" t="s">
        <v>218</v>
      </c>
      <c r="E178" t="s">
        <v>423</v>
      </c>
    </row>
    <row r="179" spans="1:7" x14ac:dyDescent="0.3">
      <c r="A179" s="35" t="s">
        <v>444</v>
      </c>
      <c r="B179" t="s">
        <v>88</v>
      </c>
      <c r="C179">
        <v>2.39</v>
      </c>
      <c r="D179" t="s">
        <v>218</v>
      </c>
      <c r="E179" t="s">
        <v>445</v>
      </c>
    </row>
    <row r="180" spans="1:7" x14ac:dyDescent="0.3">
      <c r="A180" s="35" t="s">
        <v>424</v>
      </c>
      <c r="B180" t="s">
        <v>90</v>
      </c>
      <c r="C180">
        <v>-0.18</v>
      </c>
      <c r="D180" t="s">
        <v>218</v>
      </c>
      <c r="E180" t="s">
        <v>446</v>
      </c>
    </row>
    <row r="181" spans="1:7" x14ac:dyDescent="0.3">
      <c r="A181" s="35" t="s">
        <v>447</v>
      </c>
      <c r="B181" t="s">
        <v>448</v>
      </c>
      <c r="C181">
        <v>1</v>
      </c>
      <c r="D181" t="s">
        <v>218</v>
      </c>
      <c r="E181" t="s">
        <v>449</v>
      </c>
    </row>
    <row r="182" spans="1:7" x14ac:dyDescent="0.3">
      <c r="A182" s="35"/>
    </row>
    <row r="183" spans="1:7" x14ac:dyDescent="0.3">
      <c r="A183" s="35"/>
    </row>
    <row r="184" spans="1:7" x14ac:dyDescent="0.3">
      <c r="A184" t="s">
        <v>430</v>
      </c>
      <c r="B184" t="s">
        <v>431</v>
      </c>
      <c r="C184" t="s">
        <v>432</v>
      </c>
      <c r="D184" t="s">
        <v>433</v>
      </c>
      <c r="E184" t="s">
        <v>434</v>
      </c>
      <c r="F184" t="s">
        <v>435</v>
      </c>
      <c r="G184" t="s">
        <v>436</v>
      </c>
    </row>
    <row r="185" spans="1:7" x14ac:dyDescent="0.3">
      <c r="A185">
        <v>800</v>
      </c>
      <c r="B185">
        <f>$C$7*$C$5*(A185^$C$6)</f>
        <v>31.273145941430467</v>
      </c>
      <c r="C185">
        <f>A185*B185</f>
        <v>25018.516753144373</v>
      </c>
      <c r="D185">
        <f>$C$4</f>
        <v>0.65382379329026952</v>
      </c>
      <c r="E185">
        <f>A185*D185</f>
        <v>523.05903463221557</v>
      </c>
      <c r="F185">
        <f>($C$2+$C$3)/(1-D185-B185)</f>
        <v>-4.2705512243866768E-2</v>
      </c>
      <c r="G185">
        <f>F185-A185</f>
        <v>-800.04270551224386</v>
      </c>
    </row>
    <row r="186" spans="1:7" x14ac:dyDescent="0.3">
      <c r="A186">
        <v>1100</v>
      </c>
      <c r="B186">
        <f t="shared" ref="B186:B192" si="27">$C$7*$C$5*(A186^$C$6)</f>
        <v>38.41403560022232</v>
      </c>
      <c r="C186">
        <f t="shared" ref="C186:C192" si="28">A186*B186</f>
        <v>42255.439160244554</v>
      </c>
      <c r="D186">
        <f t="shared" ref="D186:D192" si="29">$C$4</f>
        <v>0.65382379329026952</v>
      </c>
      <c r="E186">
        <f t="shared" ref="E186:E192" si="30">A186*D186</f>
        <v>719.20617261929647</v>
      </c>
      <c r="F186">
        <f t="shared" ref="F186:F192" si="31">($C$2+$C$3)/(1-D186-B186)</f>
        <v>-3.469467697195739E-2</v>
      </c>
      <c r="G186">
        <f t="shared" ref="G186:G192" si="32">F186-A186</f>
        <v>-1100.0346946769719</v>
      </c>
    </row>
    <row r="187" spans="1:7" x14ac:dyDescent="0.3">
      <c r="A187">
        <v>1250</v>
      </c>
      <c r="B187">
        <f t="shared" si="27"/>
        <v>41.719973179822802</v>
      </c>
      <c r="C187">
        <f t="shared" si="28"/>
        <v>52149.966474778499</v>
      </c>
      <c r="D187">
        <f t="shared" si="29"/>
        <v>0.65382379329026952</v>
      </c>
      <c r="E187">
        <f t="shared" si="30"/>
        <v>817.27974161283692</v>
      </c>
      <c r="F187">
        <f t="shared" si="31"/>
        <v>-3.1922428718111351E-2</v>
      </c>
      <c r="G187">
        <f t="shared" si="32"/>
        <v>-1250.0319224287182</v>
      </c>
    </row>
    <row r="188" spans="1:7" x14ac:dyDescent="0.3">
      <c r="A188">
        <v>1240</v>
      </c>
      <c r="B188">
        <f t="shared" si="27"/>
        <v>41.504118643349784</v>
      </c>
      <c r="C188">
        <f t="shared" si="28"/>
        <v>51465.107117753731</v>
      </c>
      <c r="D188">
        <f t="shared" si="29"/>
        <v>0.65382379329026952</v>
      </c>
      <c r="E188">
        <f t="shared" si="30"/>
        <v>810.74150367993423</v>
      </c>
      <c r="F188">
        <f t="shared" si="31"/>
        <v>-3.208984721976868E-2</v>
      </c>
      <c r="G188">
        <f t="shared" si="32"/>
        <v>-1240.0320898472198</v>
      </c>
    </row>
    <row r="189" spans="1:7" x14ac:dyDescent="0.3">
      <c r="A189">
        <v>1245</v>
      </c>
      <c r="B189">
        <f t="shared" si="27"/>
        <v>41.612122670657016</v>
      </c>
      <c r="C189">
        <f t="shared" si="28"/>
        <v>51807.092724967981</v>
      </c>
      <c r="D189">
        <f t="shared" si="29"/>
        <v>0.65382379329026952</v>
      </c>
      <c r="E189">
        <f t="shared" si="30"/>
        <v>814.01062264638551</v>
      </c>
      <c r="F189">
        <f t="shared" si="31"/>
        <v>-3.2005859500295511E-2</v>
      </c>
      <c r="G189">
        <f t="shared" si="32"/>
        <v>-1245.0320058595003</v>
      </c>
    </row>
    <row r="190" spans="1:7" x14ac:dyDescent="0.3">
      <c r="A190">
        <v>1244</v>
      </c>
      <c r="B190">
        <f t="shared" si="27"/>
        <v>41.590534173376568</v>
      </c>
      <c r="C190">
        <f t="shared" si="28"/>
        <v>51738.624511680449</v>
      </c>
      <c r="D190">
        <f t="shared" si="29"/>
        <v>0.65382379329026952</v>
      </c>
      <c r="E190">
        <f t="shared" si="30"/>
        <v>813.35679885309526</v>
      </c>
      <c r="F190">
        <f t="shared" si="31"/>
        <v>-3.2022612298613744E-2</v>
      </c>
      <c r="G190">
        <f t="shared" si="32"/>
        <v>-1244.0320226122985</v>
      </c>
    </row>
    <row r="191" spans="1:7" x14ac:dyDescent="0.3">
      <c r="A191">
        <v>1243</v>
      </c>
      <c r="B191">
        <f t="shared" si="27"/>
        <v>41.568939528710168</v>
      </c>
      <c r="C191">
        <f t="shared" si="28"/>
        <v>51670.191834186735</v>
      </c>
      <c r="D191">
        <f t="shared" si="29"/>
        <v>0.65382379329026952</v>
      </c>
      <c r="E191">
        <f t="shared" si="30"/>
        <v>812.702975059805</v>
      </c>
      <c r="F191">
        <f t="shared" si="31"/>
        <v>-3.2039387421826056E-2</v>
      </c>
      <c r="G191">
        <f t="shared" si="32"/>
        <v>-1243.0320393874217</v>
      </c>
    </row>
    <row r="192" spans="1:7" x14ac:dyDescent="0.3">
      <c r="A192">
        <v>1243.5</v>
      </c>
      <c r="B192">
        <f t="shared" si="27"/>
        <v>41.579737619884938</v>
      </c>
      <c r="C192">
        <f t="shared" si="28"/>
        <v>51704.403730326922</v>
      </c>
      <c r="D192">
        <f t="shared" si="29"/>
        <v>0.65382379329026952</v>
      </c>
      <c r="E192">
        <f t="shared" si="30"/>
        <v>813.02988695645013</v>
      </c>
      <c r="F192">
        <f t="shared" si="31"/>
        <v>-3.2030997066622484E-2</v>
      </c>
      <c r="G192">
        <f t="shared" si="32"/>
        <v>-1243.5320309970666</v>
      </c>
    </row>
    <row r="195" spans="1:7" x14ac:dyDescent="0.3">
      <c r="A195" s="29" t="s">
        <v>74</v>
      </c>
      <c r="B195" s="29" t="s">
        <v>213</v>
      </c>
      <c r="C195" s="29" t="s">
        <v>14</v>
      </c>
      <c r="D195" s="29" t="s">
        <v>15</v>
      </c>
      <c r="E195" s="29" t="s">
        <v>16</v>
      </c>
    </row>
    <row r="196" spans="1:7" x14ac:dyDescent="0.3">
      <c r="A196" s="35" t="s">
        <v>420</v>
      </c>
      <c r="B196" t="s">
        <v>11</v>
      </c>
      <c r="C196">
        <v>180</v>
      </c>
      <c r="D196" t="s">
        <v>17</v>
      </c>
      <c r="E196" t="s">
        <v>421</v>
      </c>
    </row>
    <row r="197" spans="1:7" x14ac:dyDescent="0.3">
      <c r="A197" s="35" t="s">
        <v>422</v>
      </c>
      <c r="B197" t="s">
        <v>295</v>
      </c>
      <c r="C197">
        <v>0</v>
      </c>
      <c r="D197" t="s">
        <v>17</v>
      </c>
      <c r="E197" t="s">
        <v>296</v>
      </c>
    </row>
    <row r="198" spans="1:7" x14ac:dyDescent="0.3">
      <c r="A198" s="35" t="s">
        <v>414</v>
      </c>
      <c r="B198" t="s">
        <v>0</v>
      </c>
      <c r="C198">
        <f>'07_Mission_Fractions'!C226</f>
        <v>0</v>
      </c>
      <c r="D198" t="s">
        <v>218</v>
      </c>
      <c r="E198" t="s">
        <v>423</v>
      </c>
    </row>
    <row r="199" spans="1:7" x14ac:dyDescent="0.3">
      <c r="A199" s="35" t="s">
        <v>444</v>
      </c>
      <c r="B199" t="s">
        <v>88</v>
      </c>
      <c r="C199">
        <v>2.39</v>
      </c>
      <c r="D199" t="s">
        <v>218</v>
      </c>
      <c r="E199" t="s">
        <v>445</v>
      </c>
    </row>
    <row r="200" spans="1:7" x14ac:dyDescent="0.3">
      <c r="A200" s="35" t="s">
        <v>424</v>
      </c>
      <c r="B200" t="s">
        <v>90</v>
      </c>
      <c r="C200">
        <v>-0.18</v>
      </c>
      <c r="D200" t="s">
        <v>218</v>
      </c>
      <c r="E200" t="s">
        <v>446</v>
      </c>
    </row>
    <row r="201" spans="1:7" x14ac:dyDescent="0.3">
      <c r="A201" s="35" t="s">
        <v>447</v>
      </c>
      <c r="B201" t="s">
        <v>448</v>
      </c>
      <c r="C201">
        <v>1</v>
      </c>
      <c r="D201" t="s">
        <v>218</v>
      </c>
      <c r="E201" t="s">
        <v>449</v>
      </c>
    </row>
    <row r="202" spans="1:7" x14ac:dyDescent="0.3">
      <c r="A202" s="35"/>
    </row>
    <row r="203" spans="1:7" x14ac:dyDescent="0.3">
      <c r="A203" s="35"/>
    </row>
    <row r="204" spans="1:7" x14ac:dyDescent="0.3">
      <c r="A204" t="s">
        <v>430</v>
      </c>
      <c r="B204" t="s">
        <v>431</v>
      </c>
      <c r="C204" t="s">
        <v>432</v>
      </c>
      <c r="D204" t="s">
        <v>433</v>
      </c>
      <c r="E204" t="s">
        <v>434</v>
      </c>
      <c r="F204" t="s">
        <v>435</v>
      </c>
      <c r="G204" t="s">
        <v>436</v>
      </c>
    </row>
    <row r="205" spans="1:7" x14ac:dyDescent="0.3">
      <c r="A205">
        <v>800</v>
      </c>
      <c r="B205">
        <f>$C$7*$C$5*(A205^$C$6)</f>
        <v>31.273145941430467</v>
      </c>
      <c r="C205">
        <f>A205*B205</f>
        <v>25018.516753144373</v>
      </c>
      <c r="D205">
        <f>$C$4</f>
        <v>0.65382379329026952</v>
      </c>
      <c r="E205">
        <f>A205*D205</f>
        <v>523.05903463221557</v>
      </c>
      <c r="F205">
        <f>($C$2+$C$3)/(1-D205-B205)</f>
        <v>-4.2705512243866768E-2</v>
      </c>
      <c r="G205">
        <f>F205-A205</f>
        <v>-800.04270551224386</v>
      </c>
    </row>
    <row r="206" spans="1:7" x14ac:dyDescent="0.3">
      <c r="A206">
        <v>1100</v>
      </c>
      <c r="B206">
        <f t="shared" ref="B206:B212" si="33">$C$7*$C$5*(A206^$C$6)</f>
        <v>38.41403560022232</v>
      </c>
      <c r="C206">
        <f t="shared" ref="C206:C212" si="34">A206*B206</f>
        <v>42255.439160244554</v>
      </c>
      <c r="D206">
        <f t="shared" ref="D206:D212" si="35">$C$4</f>
        <v>0.65382379329026952</v>
      </c>
      <c r="E206">
        <f t="shared" ref="E206:E212" si="36">A206*D206</f>
        <v>719.20617261929647</v>
      </c>
      <c r="F206">
        <f t="shared" ref="F206:F212" si="37">($C$2+$C$3)/(1-D206-B206)</f>
        <v>-3.469467697195739E-2</v>
      </c>
      <c r="G206">
        <f t="shared" ref="G206:G212" si="38">F206-A206</f>
        <v>-1100.0346946769719</v>
      </c>
    </row>
    <row r="207" spans="1:7" x14ac:dyDescent="0.3">
      <c r="A207">
        <v>1250</v>
      </c>
      <c r="B207">
        <f t="shared" si="33"/>
        <v>41.719973179822802</v>
      </c>
      <c r="C207">
        <f t="shared" si="34"/>
        <v>52149.966474778499</v>
      </c>
      <c r="D207">
        <f t="shared" si="35"/>
        <v>0.65382379329026952</v>
      </c>
      <c r="E207">
        <f t="shared" si="36"/>
        <v>817.27974161283692</v>
      </c>
      <c r="F207">
        <f t="shared" si="37"/>
        <v>-3.1922428718111351E-2</v>
      </c>
      <c r="G207">
        <f t="shared" si="38"/>
        <v>-1250.0319224287182</v>
      </c>
    </row>
    <row r="208" spans="1:7" x14ac:dyDescent="0.3">
      <c r="A208">
        <v>1240</v>
      </c>
      <c r="B208">
        <f t="shared" si="33"/>
        <v>41.504118643349784</v>
      </c>
      <c r="C208">
        <f t="shared" si="34"/>
        <v>51465.107117753731</v>
      </c>
      <c r="D208">
        <f t="shared" si="35"/>
        <v>0.65382379329026952</v>
      </c>
      <c r="E208">
        <f t="shared" si="36"/>
        <v>810.74150367993423</v>
      </c>
      <c r="F208">
        <f t="shared" si="37"/>
        <v>-3.208984721976868E-2</v>
      </c>
      <c r="G208">
        <f t="shared" si="38"/>
        <v>-1240.0320898472198</v>
      </c>
    </row>
    <row r="209" spans="1:7" x14ac:dyDescent="0.3">
      <c r="A209">
        <v>1245</v>
      </c>
      <c r="B209">
        <f t="shared" si="33"/>
        <v>41.612122670657016</v>
      </c>
      <c r="C209">
        <f t="shared" si="34"/>
        <v>51807.092724967981</v>
      </c>
      <c r="D209">
        <f t="shared" si="35"/>
        <v>0.65382379329026952</v>
      </c>
      <c r="E209">
        <f t="shared" si="36"/>
        <v>814.01062264638551</v>
      </c>
      <c r="F209">
        <f t="shared" si="37"/>
        <v>-3.2005859500295511E-2</v>
      </c>
      <c r="G209">
        <f t="shared" si="38"/>
        <v>-1245.0320058595003</v>
      </c>
    </row>
    <row r="210" spans="1:7" x14ac:dyDescent="0.3">
      <c r="A210">
        <v>1244</v>
      </c>
      <c r="B210">
        <f t="shared" si="33"/>
        <v>41.590534173376568</v>
      </c>
      <c r="C210">
        <f t="shared" si="34"/>
        <v>51738.624511680449</v>
      </c>
      <c r="D210">
        <f t="shared" si="35"/>
        <v>0.65382379329026952</v>
      </c>
      <c r="E210">
        <f t="shared" si="36"/>
        <v>813.35679885309526</v>
      </c>
      <c r="F210">
        <f t="shared" si="37"/>
        <v>-3.2022612298613744E-2</v>
      </c>
      <c r="G210">
        <f t="shared" si="38"/>
        <v>-1244.0320226122985</v>
      </c>
    </row>
    <row r="211" spans="1:7" x14ac:dyDescent="0.3">
      <c r="A211">
        <v>1243</v>
      </c>
      <c r="B211">
        <f t="shared" si="33"/>
        <v>41.568939528710168</v>
      </c>
      <c r="C211">
        <f t="shared" si="34"/>
        <v>51670.191834186735</v>
      </c>
      <c r="D211">
        <f t="shared" si="35"/>
        <v>0.65382379329026952</v>
      </c>
      <c r="E211">
        <f t="shared" si="36"/>
        <v>812.702975059805</v>
      </c>
      <c r="F211">
        <f t="shared" si="37"/>
        <v>-3.2039387421826056E-2</v>
      </c>
      <c r="G211">
        <f t="shared" si="38"/>
        <v>-1243.0320393874217</v>
      </c>
    </row>
    <row r="212" spans="1:7" x14ac:dyDescent="0.3">
      <c r="A212">
        <v>1243.5</v>
      </c>
      <c r="B212">
        <f t="shared" si="33"/>
        <v>41.579737619884938</v>
      </c>
      <c r="C212">
        <f t="shared" si="34"/>
        <v>51704.403730326922</v>
      </c>
      <c r="D212">
        <f t="shared" si="35"/>
        <v>0.65382379329026952</v>
      </c>
      <c r="E212">
        <f t="shared" si="36"/>
        <v>813.02988695645013</v>
      </c>
      <c r="F212">
        <f t="shared" si="37"/>
        <v>-3.2030997066622484E-2</v>
      </c>
      <c r="G212">
        <f t="shared" si="38"/>
        <v>-1243.5320309970666</v>
      </c>
    </row>
    <row r="216" spans="1:7" x14ac:dyDescent="0.3">
      <c r="A216" s="29" t="s">
        <v>74</v>
      </c>
      <c r="B216" s="29" t="s">
        <v>213</v>
      </c>
      <c r="C216" s="29" t="s">
        <v>14</v>
      </c>
      <c r="D216" s="29" t="s">
        <v>15</v>
      </c>
      <c r="E216" s="29" t="s">
        <v>16</v>
      </c>
    </row>
    <row r="217" spans="1:7" x14ac:dyDescent="0.3">
      <c r="A217" s="35" t="s">
        <v>420</v>
      </c>
      <c r="B217" t="s">
        <v>11</v>
      </c>
      <c r="C217">
        <v>180</v>
      </c>
      <c r="D217" t="s">
        <v>17</v>
      </c>
      <c r="E217" t="s">
        <v>421</v>
      </c>
    </row>
    <row r="218" spans="1:7" x14ac:dyDescent="0.3">
      <c r="A218" s="35" t="s">
        <v>422</v>
      </c>
      <c r="B218" t="s">
        <v>295</v>
      </c>
      <c r="C218">
        <v>0</v>
      </c>
      <c r="D218" t="s">
        <v>17</v>
      </c>
      <c r="E218" t="s">
        <v>296</v>
      </c>
    </row>
    <row r="219" spans="1:7" x14ac:dyDescent="0.3">
      <c r="A219" s="35" t="s">
        <v>414</v>
      </c>
      <c r="B219" t="s">
        <v>0</v>
      </c>
      <c r="C219">
        <f>'07_Mission_Fractions'!C247</f>
        <v>0</v>
      </c>
      <c r="D219" t="s">
        <v>218</v>
      </c>
      <c r="E219" t="s">
        <v>423</v>
      </c>
    </row>
    <row r="220" spans="1:7" x14ac:dyDescent="0.3">
      <c r="A220" s="35" t="s">
        <v>444</v>
      </c>
      <c r="B220" t="s">
        <v>88</v>
      </c>
      <c r="C220">
        <v>2.39</v>
      </c>
      <c r="D220" t="s">
        <v>218</v>
      </c>
      <c r="E220" t="s">
        <v>445</v>
      </c>
    </row>
    <row r="221" spans="1:7" x14ac:dyDescent="0.3">
      <c r="A221" s="35" t="s">
        <v>424</v>
      </c>
      <c r="B221" t="s">
        <v>90</v>
      </c>
      <c r="C221">
        <v>-0.18</v>
      </c>
      <c r="D221" t="s">
        <v>218</v>
      </c>
      <c r="E221" t="s">
        <v>446</v>
      </c>
    </row>
    <row r="222" spans="1:7" x14ac:dyDescent="0.3">
      <c r="A222" s="35" t="s">
        <v>447</v>
      </c>
      <c r="B222" t="s">
        <v>448</v>
      </c>
      <c r="C222">
        <v>1</v>
      </c>
      <c r="D222" t="s">
        <v>218</v>
      </c>
      <c r="E222" t="s">
        <v>449</v>
      </c>
    </row>
    <row r="223" spans="1:7" x14ac:dyDescent="0.3">
      <c r="A223" s="35"/>
    </row>
    <row r="224" spans="1:7" x14ac:dyDescent="0.3">
      <c r="A224" s="35"/>
    </row>
    <row r="225" spans="1:7" x14ac:dyDescent="0.3">
      <c r="A225" t="s">
        <v>430</v>
      </c>
      <c r="B225" t="s">
        <v>431</v>
      </c>
      <c r="C225" t="s">
        <v>432</v>
      </c>
      <c r="D225" t="s">
        <v>433</v>
      </c>
      <c r="E225" t="s">
        <v>434</v>
      </c>
      <c r="F225" t="s">
        <v>435</v>
      </c>
      <c r="G225" t="s">
        <v>436</v>
      </c>
    </row>
    <row r="226" spans="1:7" x14ac:dyDescent="0.3">
      <c r="A226">
        <v>800</v>
      </c>
      <c r="B226">
        <f>$C$7*$C$5*(A226^$C$6)</f>
        <v>31.273145941430467</v>
      </c>
      <c r="C226">
        <f>A226*B226</f>
        <v>25018.516753144373</v>
      </c>
      <c r="D226">
        <f>$C$4</f>
        <v>0.65382379329026952</v>
      </c>
      <c r="E226">
        <f>A226*D226</f>
        <v>523.05903463221557</v>
      </c>
      <c r="F226">
        <f>($C$2+$C$3)/(1-D226-B226)</f>
        <v>-4.2705512243866768E-2</v>
      </c>
      <c r="G226">
        <f>F226-A226</f>
        <v>-800.04270551224386</v>
      </c>
    </row>
    <row r="227" spans="1:7" x14ac:dyDescent="0.3">
      <c r="A227">
        <v>1100</v>
      </c>
      <c r="B227">
        <f t="shared" ref="B227:B233" si="39">$C$7*$C$5*(A227^$C$6)</f>
        <v>38.41403560022232</v>
      </c>
      <c r="C227">
        <f t="shared" ref="C227:C233" si="40">A227*B227</f>
        <v>42255.439160244554</v>
      </c>
      <c r="D227">
        <f t="shared" ref="D227:D233" si="41">$C$4</f>
        <v>0.65382379329026952</v>
      </c>
      <c r="E227">
        <f t="shared" ref="E227:E233" si="42">A227*D227</f>
        <v>719.20617261929647</v>
      </c>
      <c r="F227">
        <f t="shared" ref="F227:F233" si="43">($C$2+$C$3)/(1-D227-B227)</f>
        <v>-3.469467697195739E-2</v>
      </c>
      <c r="G227">
        <f t="shared" ref="G227:G233" si="44">F227-A227</f>
        <v>-1100.0346946769719</v>
      </c>
    </row>
    <row r="228" spans="1:7" x14ac:dyDescent="0.3">
      <c r="A228">
        <v>1250</v>
      </c>
      <c r="B228">
        <f t="shared" si="39"/>
        <v>41.719973179822802</v>
      </c>
      <c r="C228">
        <f t="shared" si="40"/>
        <v>52149.966474778499</v>
      </c>
      <c r="D228">
        <f t="shared" si="41"/>
        <v>0.65382379329026952</v>
      </c>
      <c r="E228">
        <f t="shared" si="42"/>
        <v>817.27974161283692</v>
      </c>
      <c r="F228">
        <f t="shared" si="43"/>
        <v>-3.1922428718111351E-2</v>
      </c>
      <c r="G228">
        <f t="shared" si="44"/>
        <v>-1250.0319224287182</v>
      </c>
    </row>
    <row r="229" spans="1:7" x14ac:dyDescent="0.3">
      <c r="A229">
        <v>1240</v>
      </c>
      <c r="B229">
        <f t="shared" si="39"/>
        <v>41.504118643349784</v>
      </c>
      <c r="C229">
        <f t="shared" si="40"/>
        <v>51465.107117753731</v>
      </c>
      <c r="D229">
        <f t="shared" si="41"/>
        <v>0.65382379329026952</v>
      </c>
      <c r="E229">
        <f t="shared" si="42"/>
        <v>810.74150367993423</v>
      </c>
      <c r="F229">
        <f t="shared" si="43"/>
        <v>-3.208984721976868E-2</v>
      </c>
      <c r="G229">
        <f t="shared" si="44"/>
        <v>-1240.0320898472198</v>
      </c>
    </row>
    <row r="230" spans="1:7" x14ac:dyDescent="0.3">
      <c r="A230">
        <v>1245</v>
      </c>
      <c r="B230">
        <f t="shared" si="39"/>
        <v>41.612122670657016</v>
      </c>
      <c r="C230">
        <f t="shared" si="40"/>
        <v>51807.092724967981</v>
      </c>
      <c r="D230">
        <f t="shared" si="41"/>
        <v>0.65382379329026952</v>
      </c>
      <c r="E230">
        <f t="shared" si="42"/>
        <v>814.01062264638551</v>
      </c>
      <c r="F230">
        <f t="shared" si="43"/>
        <v>-3.2005859500295511E-2</v>
      </c>
      <c r="G230">
        <f t="shared" si="44"/>
        <v>-1245.0320058595003</v>
      </c>
    </row>
    <row r="231" spans="1:7" x14ac:dyDescent="0.3">
      <c r="A231">
        <v>1244</v>
      </c>
      <c r="B231">
        <f t="shared" si="39"/>
        <v>41.590534173376568</v>
      </c>
      <c r="C231">
        <f t="shared" si="40"/>
        <v>51738.624511680449</v>
      </c>
      <c r="D231">
        <f t="shared" si="41"/>
        <v>0.65382379329026952</v>
      </c>
      <c r="E231">
        <f t="shared" si="42"/>
        <v>813.35679885309526</v>
      </c>
      <c r="F231">
        <f t="shared" si="43"/>
        <v>-3.2022612298613744E-2</v>
      </c>
      <c r="G231">
        <f t="shared" si="44"/>
        <v>-1244.0320226122985</v>
      </c>
    </row>
    <row r="232" spans="1:7" x14ac:dyDescent="0.3">
      <c r="A232">
        <v>1243</v>
      </c>
      <c r="B232">
        <f t="shared" si="39"/>
        <v>41.568939528710168</v>
      </c>
      <c r="C232">
        <f t="shared" si="40"/>
        <v>51670.191834186735</v>
      </c>
      <c r="D232">
        <f t="shared" si="41"/>
        <v>0.65382379329026952</v>
      </c>
      <c r="E232">
        <f t="shared" si="42"/>
        <v>812.702975059805</v>
      </c>
      <c r="F232">
        <f t="shared" si="43"/>
        <v>-3.2039387421826056E-2</v>
      </c>
      <c r="G232">
        <f t="shared" si="44"/>
        <v>-1243.0320393874217</v>
      </c>
    </row>
    <row r="233" spans="1:7" x14ac:dyDescent="0.3">
      <c r="A233">
        <v>1243.5</v>
      </c>
      <c r="B233">
        <f t="shared" si="39"/>
        <v>41.579737619884938</v>
      </c>
      <c r="C233">
        <f t="shared" si="40"/>
        <v>51704.403730326922</v>
      </c>
      <c r="D233">
        <f t="shared" si="41"/>
        <v>0.65382379329026952</v>
      </c>
      <c r="E233">
        <f t="shared" si="42"/>
        <v>813.02988695645013</v>
      </c>
      <c r="F233">
        <f t="shared" si="43"/>
        <v>-3.2030997066622484E-2</v>
      </c>
      <c r="G233">
        <f t="shared" si="44"/>
        <v>-1243.5320309970666</v>
      </c>
    </row>
    <row r="235" spans="1:7" x14ac:dyDescent="0.3">
      <c r="A235" s="29" t="s">
        <v>74</v>
      </c>
      <c r="B235" s="29" t="s">
        <v>213</v>
      </c>
      <c r="C235" s="29" t="s">
        <v>14</v>
      </c>
      <c r="D235" s="29" t="s">
        <v>15</v>
      </c>
      <c r="E235" s="29" t="s">
        <v>16</v>
      </c>
    </row>
    <row r="236" spans="1:7" x14ac:dyDescent="0.3">
      <c r="A236" s="35" t="s">
        <v>420</v>
      </c>
      <c r="B236" t="s">
        <v>11</v>
      </c>
      <c r="C236">
        <v>180</v>
      </c>
      <c r="D236" t="s">
        <v>17</v>
      </c>
      <c r="E236" t="s">
        <v>421</v>
      </c>
    </row>
    <row r="237" spans="1:7" x14ac:dyDescent="0.3">
      <c r="A237" s="35" t="s">
        <v>422</v>
      </c>
      <c r="B237" t="s">
        <v>295</v>
      </c>
      <c r="C237">
        <v>0</v>
      </c>
      <c r="D237" t="s">
        <v>17</v>
      </c>
      <c r="E237" t="s">
        <v>296</v>
      </c>
    </row>
    <row r="238" spans="1:7" x14ac:dyDescent="0.3">
      <c r="A238" s="35" t="s">
        <v>414</v>
      </c>
      <c r="B238" t="s">
        <v>0</v>
      </c>
      <c r="C238">
        <f>'07_Mission_Fractions'!C266</f>
        <v>0</v>
      </c>
      <c r="D238" t="s">
        <v>218</v>
      </c>
      <c r="E238" t="s">
        <v>423</v>
      </c>
    </row>
    <row r="239" spans="1:7" x14ac:dyDescent="0.3">
      <c r="A239" s="35" t="s">
        <v>444</v>
      </c>
      <c r="B239" t="s">
        <v>88</v>
      </c>
      <c r="C239">
        <v>2.39</v>
      </c>
      <c r="D239" t="s">
        <v>218</v>
      </c>
      <c r="E239" t="s">
        <v>445</v>
      </c>
    </row>
    <row r="240" spans="1:7" x14ac:dyDescent="0.3">
      <c r="A240" s="35" t="s">
        <v>424</v>
      </c>
      <c r="B240" t="s">
        <v>90</v>
      </c>
      <c r="C240">
        <v>-0.18</v>
      </c>
      <c r="D240" t="s">
        <v>218</v>
      </c>
      <c r="E240" t="s">
        <v>446</v>
      </c>
    </row>
    <row r="241" spans="1:7" x14ac:dyDescent="0.3">
      <c r="A241" s="35" t="s">
        <v>447</v>
      </c>
      <c r="B241" t="s">
        <v>448</v>
      </c>
      <c r="C241">
        <v>1</v>
      </c>
      <c r="D241" t="s">
        <v>218</v>
      </c>
      <c r="E241" t="s">
        <v>449</v>
      </c>
    </row>
    <row r="242" spans="1:7" x14ac:dyDescent="0.3">
      <c r="A242" s="35"/>
    </row>
    <row r="243" spans="1:7" x14ac:dyDescent="0.3">
      <c r="A243" s="35"/>
    </row>
    <row r="244" spans="1:7" x14ac:dyDescent="0.3">
      <c r="A244" t="s">
        <v>430</v>
      </c>
      <c r="B244" t="s">
        <v>431</v>
      </c>
      <c r="C244" t="s">
        <v>432</v>
      </c>
      <c r="D244" t="s">
        <v>433</v>
      </c>
      <c r="E244" t="s">
        <v>434</v>
      </c>
      <c r="F244" t="s">
        <v>435</v>
      </c>
      <c r="G244" t="s">
        <v>436</v>
      </c>
    </row>
    <row r="245" spans="1:7" x14ac:dyDescent="0.3">
      <c r="A245">
        <v>800</v>
      </c>
      <c r="B245">
        <f>$C$7*$C$5*(A245^$C$6)</f>
        <v>31.273145941430467</v>
      </c>
      <c r="C245">
        <f>A245*B245</f>
        <v>25018.516753144373</v>
      </c>
      <c r="D245">
        <f>$C$4</f>
        <v>0.65382379329026952</v>
      </c>
      <c r="E245">
        <f>A245*D245</f>
        <v>523.05903463221557</v>
      </c>
      <c r="F245">
        <f>($C$2+$C$3)/(1-D245-B245)</f>
        <v>-4.2705512243866768E-2</v>
      </c>
      <c r="G245">
        <f>F245-A245</f>
        <v>-800.04270551224386</v>
      </c>
    </row>
    <row r="246" spans="1:7" x14ac:dyDescent="0.3">
      <c r="A246">
        <v>1100</v>
      </c>
      <c r="B246">
        <f t="shared" ref="B246:B252" si="45">$C$7*$C$5*(A246^$C$6)</f>
        <v>38.41403560022232</v>
      </c>
      <c r="C246">
        <f t="shared" ref="C246:C252" si="46">A246*B246</f>
        <v>42255.439160244554</v>
      </c>
      <c r="D246">
        <f t="shared" ref="D246:D252" si="47">$C$4</f>
        <v>0.65382379329026952</v>
      </c>
      <c r="E246">
        <f t="shared" ref="E246:E252" si="48">A246*D246</f>
        <v>719.20617261929647</v>
      </c>
      <c r="F246">
        <f t="shared" ref="F246:F252" si="49">($C$2+$C$3)/(1-D246-B246)</f>
        <v>-3.469467697195739E-2</v>
      </c>
      <c r="G246">
        <f t="shared" ref="G246:G252" si="50">F246-A246</f>
        <v>-1100.0346946769719</v>
      </c>
    </row>
    <row r="247" spans="1:7" x14ac:dyDescent="0.3">
      <c r="A247">
        <v>1250</v>
      </c>
      <c r="B247">
        <f t="shared" si="45"/>
        <v>41.719973179822802</v>
      </c>
      <c r="C247">
        <f t="shared" si="46"/>
        <v>52149.966474778499</v>
      </c>
      <c r="D247">
        <f t="shared" si="47"/>
        <v>0.65382379329026952</v>
      </c>
      <c r="E247">
        <f t="shared" si="48"/>
        <v>817.27974161283692</v>
      </c>
      <c r="F247">
        <f t="shared" si="49"/>
        <v>-3.1922428718111351E-2</v>
      </c>
      <c r="G247">
        <f t="shared" si="50"/>
        <v>-1250.0319224287182</v>
      </c>
    </row>
    <row r="248" spans="1:7" x14ac:dyDescent="0.3">
      <c r="A248">
        <v>1240</v>
      </c>
      <c r="B248">
        <f t="shared" si="45"/>
        <v>41.504118643349784</v>
      </c>
      <c r="C248">
        <f t="shared" si="46"/>
        <v>51465.107117753731</v>
      </c>
      <c r="D248">
        <f t="shared" si="47"/>
        <v>0.65382379329026952</v>
      </c>
      <c r="E248">
        <f t="shared" si="48"/>
        <v>810.74150367993423</v>
      </c>
      <c r="F248">
        <f t="shared" si="49"/>
        <v>-3.208984721976868E-2</v>
      </c>
      <c r="G248">
        <f t="shared" si="50"/>
        <v>-1240.0320898472198</v>
      </c>
    </row>
    <row r="249" spans="1:7" x14ac:dyDescent="0.3">
      <c r="A249">
        <v>1245</v>
      </c>
      <c r="B249">
        <f t="shared" si="45"/>
        <v>41.612122670657016</v>
      </c>
      <c r="C249">
        <f t="shared" si="46"/>
        <v>51807.092724967981</v>
      </c>
      <c r="D249">
        <f t="shared" si="47"/>
        <v>0.65382379329026952</v>
      </c>
      <c r="E249">
        <f t="shared" si="48"/>
        <v>814.01062264638551</v>
      </c>
      <c r="F249">
        <f t="shared" si="49"/>
        <v>-3.2005859500295511E-2</v>
      </c>
      <c r="G249">
        <f t="shared" si="50"/>
        <v>-1245.0320058595003</v>
      </c>
    </row>
    <row r="250" spans="1:7" x14ac:dyDescent="0.3">
      <c r="A250">
        <v>1244</v>
      </c>
      <c r="B250">
        <f t="shared" si="45"/>
        <v>41.590534173376568</v>
      </c>
      <c r="C250">
        <f t="shared" si="46"/>
        <v>51738.624511680449</v>
      </c>
      <c r="D250">
        <f t="shared" si="47"/>
        <v>0.65382379329026952</v>
      </c>
      <c r="E250">
        <f t="shared" si="48"/>
        <v>813.35679885309526</v>
      </c>
      <c r="F250">
        <f t="shared" si="49"/>
        <v>-3.2022612298613744E-2</v>
      </c>
      <c r="G250">
        <f t="shared" si="50"/>
        <v>-1244.0320226122985</v>
      </c>
    </row>
    <row r="251" spans="1:7" x14ac:dyDescent="0.3">
      <c r="A251">
        <v>1243</v>
      </c>
      <c r="B251">
        <f t="shared" si="45"/>
        <v>41.568939528710168</v>
      </c>
      <c r="C251">
        <f t="shared" si="46"/>
        <v>51670.191834186735</v>
      </c>
      <c r="D251">
        <f t="shared" si="47"/>
        <v>0.65382379329026952</v>
      </c>
      <c r="E251">
        <f t="shared" si="48"/>
        <v>812.702975059805</v>
      </c>
      <c r="F251">
        <f t="shared" si="49"/>
        <v>-3.2039387421826056E-2</v>
      </c>
      <c r="G251">
        <f t="shared" si="50"/>
        <v>-1243.0320393874217</v>
      </c>
    </row>
    <row r="252" spans="1:7" x14ac:dyDescent="0.3">
      <c r="A252">
        <v>1243.5</v>
      </c>
      <c r="B252">
        <f t="shared" si="45"/>
        <v>41.579737619884938</v>
      </c>
      <c r="C252">
        <f t="shared" si="46"/>
        <v>51704.403730326922</v>
      </c>
      <c r="D252">
        <f t="shared" si="47"/>
        <v>0.65382379329026952</v>
      </c>
      <c r="E252">
        <f t="shared" si="48"/>
        <v>813.02988695645013</v>
      </c>
      <c r="F252">
        <f t="shared" si="49"/>
        <v>-3.2030997066622484E-2</v>
      </c>
      <c r="G252">
        <f t="shared" si="50"/>
        <v>-1243.5320309970666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9C3-1059-4224-A9C9-7C4A3D46821A}">
  <dimension ref="A1:G20"/>
  <sheetViews>
    <sheetView topLeftCell="A13" workbookViewId="0">
      <selection activeCell="C15" sqref="C15"/>
    </sheetView>
  </sheetViews>
  <sheetFormatPr defaultRowHeight="14.4" x14ac:dyDescent="0.3"/>
  <cols>
    <col min="1" max="1" width="31.33203125" customWidth="1"/>
    <col min="2" max="2" width="27.88671875" customWidth="1"/>
    <col min="3" max="3" width="20.88671875" customWidth="1"/>
    <col min="4" max="4" width="20.6640625" customWidth="1"/>
    <col min="6" max="6" width="26.44140625" customWidth="1"/>
  </cols>
  <sheetData>
    <row r="1" spans="1:7" x14ac:dyDescent="0.3">
      <c r="A1" s="27" t="s">
        <v>74</v>
      </c>
      <c r="B1" s="27" t="s">
        <v>213</v>
      </c>
      <c r="C1" s="27" t="s">
        <v>14</v>
      </c>
      <c r="D1" s="27" t="s">
        <v>15</v>
      </c>
      <c r="E1" s="27" t="s">
        <v>16</v>
      </c>
      <c r="F1" s="27"/>
    </row>
    <row r="2" spans="1:7" x14ac:dyDescent="0.3">
      <c r="A2" s="27" t="s">
        <v>451</v>
      </c>
      <c r="B2" s="27" t="s">
        <v>8</v>
      </c>
      <c r="C2" s="27">
        <f>'08_Weight_Estimation'!F18</f>
        <v>1483.0606441853561</v>
      </c>
      <c r="D2" s="27" t="s">
        <v>17</v>
      </c>
      <c r="E2" s="27" t="s">
        <v>499</v>
      </c>
      <c r="F2" s="27"/>
    </row>
    <row r="3" spans="1:7" x14ac:dyDescent="0.3">
      <c r="A3" s="27" t="s">
        <v>345</v>
      </c>
      <c r="B3" s="27" t="s">
        <v>346</v>
      </c>
      <c r="C3" s="27">
        <v>9.8066499999999994</v>
      </c>
      <c r="D3" s="27" t="s">
        <v>347</v>
      </c>
      <c r="E3" s="27" t="s">
        <v>348</v>
      </c>
      <c r="F3" s="27"/>
    </row>
    <row r="4" spans="1:7" x14ac:dyDescent="0.3">
      <c r="A4" s="27" t="s">
        <v>500</v>
      </c>
      <c r="B4" s="27" t="s">
        <v>69</v>
      </c>
      <c r="C4" s="27">
        <f>C2*C3</f>
        <v>14543.856666300322</v>
      </c>
      <c r="D4" s="27" t="s">
        <v>65</v>
      </c>
      <c r="E4" s="27" t="s">
        <v>501</v>
      </c>
      <c r="F4" s="27"/>
    </row>
    <row r="5" spans="1:7" x14ac:dyDescent="0.3">
      <c r="A5" s="27" t="s">
        <v>502</v>
      </c>
      <c r="B5" s="27" t="s">
        <v>312</v>
      </c>
      <c r="C5" s="27">
        <f>'03_Atmosphere'!E5</f>
        <v>1.2250000000000001</v>
      </c>
      <c r="D5" s="27" t="s">
        <v>313</v>
      </c>
      <c r="E5" s="27" t="s">
        <v>502</v>
      </c>
      <c r="F5" s="27"/>
    </row>
    <row r="6" spans="1:7" x14ac:dyDescent="0.3">
      <c r="A6" s="27" t="s">
        <v>19</v>
      </c>
      <c r="B6" s="27" t="s">
        <v>503</v>
      </c>
      <c r="C6" s="27">
        <f>40*0.514444</f>
        <v>20.577760000000001</v>
      </c>
      <c r="D6" s="27" t="s">
        <v>48</v>
      </c>
      <c r="E6" s="27" t="s">
        <v>504</v>
      </c>
      <c r="F6" s="27"/>
    </row>
    <row r="7" spans="1:7" x14ac:dyDescent="0.3">
      <c r="A7" s="27" t="s">
        <v>22</v>
      </c>
      <c r="B7" s="27" t="s">
        <v>505</v>
      </c>
      <c r="C7" s="27">
        <f>50*0.514444</f>
        <v>25.722200000000001</v>
      </c>
      <c r="D7" s="27" t="s">
        <v>48</v>
      </c>
      <c r="E7" s="27" t="s">
        <v>506</v>
      </c>
      <c r="F7" s="27"/>
    </row>
    <row r="8" spans="1:7" x14ac:dyDescent="0.3">
      <c r="A8" s="27" t="s">
        <v>507</v>
      </c>
      <c r="B8" s="27" t="s">
        <v>508</v>
      </c>
      <c r="C8" s="27">
        <f>'05_Assumptions'!D11</f>
        <v>2</v>
      </c>
      <c r="D8" s="27" t="s">
        <v>218</v>
      </c>
      <c r="E8" s="27" t="s">
        <v>21</v>
      </c>
      <c r="F8" s="27"/>
    </row>
    <row r="9" spans="1:7" x14ac:dyDescent="0.3">
      <c r="A9" s="27" t="s">
        <v>509</v>
      </c>
      <c r="B9" s="27" t="s">
        <v>261</v>
      </c>
      <c r="C9" s="27">
        <f>'05_Assumptions'!D10</f>
        <v>1.4</v>
      </c>
      <c r="D9" s="27" t="s">
        <v>218</v>
      </c>
      <c r="E9" s="27" t="s">
        <v>23</v>
      </c>
      <c r="F9" s="27"/>
    </row>
    <row r="10" spans="1:7" x14ac:dyDescent="0.3">
      <c r="A10" s="27" t="s">
        <v>125</v>
      </c>
      <c r="B10" s="27" t="s">
        <v>217</v>
      </c>
      <c r="C10" s="27">
        <f>'05_Assumptions'!D2</f>
        <v>20</v>
      </c>
      <c r="D10" s="27" t="s">
        <v>218</v>
      </c>
      <c r="E10" s="27" t="s">
        <v>510</v>
      </c>
      <c r="F10" s="27"/>
    </row>
    <row r="12" spans="1:7" x14ac:dyDescent="0.3">
      <c r="A12" s="39" t="s">
        <v>417</v>
      </c>
      <c r="B12" s="39" t="s">
        <v>213</v>
      </c>
      <c r="C12" s="39" t="s">
        <v>14</v>
      </c>
      <c r="D12" s="39" t="s">
        <v>15</v>
      </c>
      <c r="E12" s="39" t="s">
        <v>418</v>
      </c>
      <c r="F12" s="39"/>
      <c r="G12" s="39"/>
    </row>
    <row r="13" spans="1:7" x14ac:dyDescent="0.3">
      <c r="A13" s="39" t="s">
        <v>511</v>
      </c>
      <c r="B13" s="39" t="s">
        <v>512</v>
      </c>
      <c r="C13" s="39">
        <f>C4/(0.5*C5*C6^2*C8)</f>
        <v>28.038017449709606</v>
      </c>
      <c r="D13" s="39" t="s">
        <v>513</v>
      </c>
      <c r="E13" s="39" t="s">
        <v>514</v>
      </c>
      <c r="F13" s="39"/>
      <c r="G13" s="39"/>
    </row>
    <row r="14" spans="1:7" x14ac:dyDescent="0.3">
      <c r="A14" s="39" t="s">
        <v>515</v>
      </c>
      <c r="B14" s="39" t="s">
        <v>516</v>
      </c>
      <c r="C14" s="39">
        <f>C4/(0.5*C5*C7^2*C9)</f>
        <v>25.634758811163074</v>
      </c>
      <c r="D14" s="39" t="s">
        <v>513</v>
      </c>
      <c r="E14" s="39" t="s">
        <v>514</v>
      </c>
      <c r="F14" s="39"/>
      <c r="G14" s="39"/>
    </row>
    <row r="15" spans="1:7" x14ac:dyDescent="0.3">
      <c r="A15" s="39" t="s">
        <v>517</v>
      </c>
      <c r="B15" s="39" t="s">
        <v>518</v>
      </c>
      <c r="C15" s="39">
        <f>MAX(C13:C14)</f>
        <v>28.038017449709606</v>
      </c>
      <c r="D15" s="39" t="s">
        <v>513</v>
      </c>
      <c r="E15" s="39" t="s">
        <v>519</v>
      </c>
      <c r="F15" s="39"/>
      <c r="G15" s="39"/>
    </row>
    <row r="16" spans="1:7" x14ac:dyDescent="0.3">
      <c r="A16" s="39" t="s">
        <v>520</v>
      </c>
      <c r="B16" s="39" t="s">
        <v>521</v>
      </c>
      <c r="C16" s="39">
        <f>(C10*C15)^0.5</f>
        <v>23.680378987554064</v>
      </c>
      <c r="D16" s="39" t="s">
        <v>40</v>
      </c>
      <c r="E16" s="39" t="s">
        <v>522</v>
      </c>
      <c r="F16" s="39"/>
      <c r="G16" s="39"/>
    </row>
    <row r="17" spans="1:7" x14ac:dyDescent="0.3">
      <c r="A17" s="39" t="s">
        <v>523</v>
      </c>
      <c r="B17" s="39" t="s">
        <v>524</v>
      </c>
      <c r="C17" s="39">
        <f>C15/C16</f>
        <v>1.1840189493777034</v>
      </c>
      <c r="D17" s="39" t="s">
        <v>40</v>
      </c>
      <c r="E17" s="39" t="s">
        <v>525</v>
      </c>
      <c r="F17" s="39"/>
      <c r="G17" s="39"/>
    </row>
    <row r="18" spans="1:7" x14ac:dyDescent="0.3">
      <c r="A18" s="39" t="s">
        <v>526</v>
      </c>
      <c r="B18" s="39" t="s">
        <v>527</v>
      </c>
      <c r="C18" s="39">
        <f>C2/C15</f>
        <v>52.894633040493964</v>
      </c>
      <c r="D18" s="39" t="s">
        <v>528</v>
      </c>
      <c r="E18" s="39" t="s">
        <v>529</v>
      </c>
      <c r="F18" s="39"/>
      <c r="G18" s="39"/>
    </row>
    <row r="19" spans="1:7" x14ac:dyDescent="0.3">
      <c r="A19" s="39" t="s">
        <v>526</v>
      </c>
      <c r="B19" s="39" t="s">
        <v>527</v>
      </c>
      <c r="C19" s="39">
        <f>C4/C15</f>
        <v>518.71915310656016</v>
      </c>
      <c r="D19" s="39" t="s">
        <v>530</v>
      </c>
      <c r="E19" s="39" t="s">
        <v>531</v>
      </c>
      <c r="F19" s="39"/>
      <c r="G19" s="39"/>
    </row>
    <row r="20" spans="1:7" x14ac:dyDescent="0.3">
      <c r="A20" s="39"/>
      <c r="B20" s="39"/>
      <c r="C20" s="39"/>
      <c r="D20" s="39"/>
      <c r="E20" s="39"/>
      <c r="F20" s="39"/>
      <c r="G20" s="3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746D-CC97-4EDD-86C0-D9439D30504D}">
  <dimension ref="A1:J76"/>
  <sheetViews>
    <sheetView zoomScale="79" workbookViewId="0">
      <selection activeCell="J33" sqref="J33"/>
    </sheetView>
  </sheetViews>
  <sheetFormatPr defaultRowHeight="14.4" x14ac:dyDescent="0.3"/>
  <cols>
    <col min="1" max="1" width="50.6640625" customWidth="1"/>
    <col min="2" max="2" width="36.44140625" customWidth="1"/>
    <col min="3" max="3" width="42.33203125" customWidth="1"/>
    <col min="4" max="4" width="23.6640625" customWidth="1"/>
    <col min="5" max="5" width="49" customWidth="1"/>
    <col min="6" max="6" width="13.6640625" customWidth="1"/>
  </cols>
  <sheetData>
    <row r="1" spans="1:10" x14ac:dyDescent="0.3">
      <c r="A1" s="46" t="s">
        <v>74</v>
      </c>
      <c r="B1" s="46" t="s">
        <v>213</v>
      </c>
      <c r="C1" s="46" t="s">
        <v>14</v>
      </c>
      <c r="D1" s="46" t="s">
        <v>15</v>
      </c>
      <c r="E1" s="46" t="s">
        <v>16</v>
      </c>
      <c r="F1" s="46"/>
      <c r="G1" s="46"/>
    </row>
    <row r="2" spans="1:10" x14ac:dyDescent="0.3">
      <c r="A2" s="46" t="s">
        <v>451</v>
      </c>
      <c r="B2" s="46" t="s">
        <v>8</v>
      </c>
      <c r="C2" s="46">
        <f>'08_Weight_Estimation'!F18</f>
        <v>1483.0606441853561</v>
      </c>
      <c r="D2" s="46" t="s">
        <v>17</v>
      </c>
      <c r="E2" s="46" t="s">
        <v>499</v>
      </c>
      <c r="F2" s="46"/>
      <c r="G2" s="46"/>
    </row>
    <row r="3" spans="1:10" x14ac:dyDescent="0.3">
      <c r="A3" s="46" t="s">
        <v>345</v>
      </c>
      <c r="B3" s="46" t="s">
        <v>346</v>
      </c>
      <c r="C3" s="46">
        <v>9.8066499999999994</v>
      </c>
      <c r="D3" s="46" t="s">
        <v>347</v>
      </c>
      <c r="E3" s="46" t="s">
        <v>348</v>
      </c>
      <c r="F3" s="46"/>
      <c r="G3" s="46"/>
    </row>
    <row r="4" spans="1:10" x14ac:dyDescent="0.3">
      <c r="A4" s="46" t="s">
        <v>500</v>
      </c>
      <c r="B4" s="46" t="s">
        <v>69</v>
      </c>
      <c r="C4" s="46">
        <f>C2*C3</f>
        <v>14543.856666300322</v>
      </c>
      <c r="D4" s="46" t="s">
        <v>65</v>
      </c>
      <c r="E4" s="46" t="s">
        <v>501</v>
      </c>
      <c r="F4" s="46"/>
      <c r="G4" s="46"/>
    </row>
    <row r="5" spans="1:10" x14ac:dyDescent="0.3">
      <c r="A5" s="46" t="s">
        <v>517</v>
      </c>
      <c r="B5" s="46" t="s">
        <v>133</v>
      </c>
      <c r="C5" s="46">
        <f>'11_Geometry_Sizing'!C15</f>
        <v>28.038017449709606</v>
      </c>
      <c r="D5" s="46" t="s">
        <v>513</v>
      </c>
      <c r="E5" s="46" t="s">
        <v>532</v>
      </c>
      <c r="F5" s="46"/>
      <c r="G5" s="46"/>
    </row>
    <row r="6" spans="1:10" x14ac:dyDescent="0.3">
      <c r="A6" s="46" t="s">
        <v>526</v>
      </c>
      <c r="B6" s="46" t="s">
        <v>527</v>
      </c>
      <c r="C6" s="46">
        <f>C4/C5</f>
        <v>518.71915310656016</v>
      </c>
      <c r="D6" s="46" t="s">
        <v>530</v>
      </c>
      <c r="E6" s="46" t="s">
        <v>533</v>
      </c>
      <c r="F6" s="46"/>
      <c r="G6" s="46"/>
    </row>
    <row r="7" spans="1:10" x14ac:dyDescent="0.3">
      <c r="A7" s="46" t="s">
        <v>125</v>
      </c>
      <c r="B7" s="46" t="s">
        <v>217</v>
      </c>
      <c r="C7" s="46">
        <f>'05_Assumptions'!D2</f>
        <v>20</v>
      </c>
      <c r="D7" s="46" t="s">
        <v>218</v>
      </c>
      <c r="E7" s="46" t="s">
        <v>510</v>
      </c>
      <c r="F7" s="46"/>
      <c r="G7" s="46"/>
    </row>
    <row r="8" spans="1:10" x14ac:dyDescent="0.3">
      <c r="A8" s="46" t="s">
        <v>534</v>
      </c>
      <c r="B8" s="46" t="s">
        <v>224</v>
      </c>
      <c r="C8" s="46">
        <f>'05_Assumptions'!D3</f>
        <v>0.8</v>
      </c>
      <c r="D8" s="46" t="s">
        <v>218</v>
      </c>
      <c r="E8" s="46" t="s">
        <v>535</v>
      </c>
      <c r="F8" s="46"/>
      <c r="G8" s="46"/>
    </row>
    <row r="9" spans="1:10" x14ac:dyDescent="0.3">
      <c r="A9" s="46" t="s">
        <v>229</v>
      </c>
      <c r="B9" s="46" t="s">
        <v>229</v>
      </c>
      <c r="C9" s="46">
        <f>'05_Assumptions'!D4</f>
        <v>2.5000000000000001E-2</v>
      </c>
      <c r="D9" s="46" t="s">
        <v>218</v>
      </c>
      <c r="E9" s="46" t="s">
        <v>536</v>
      </c>
      <c r="F9" s="46"/>
      <c r="G9" s="46"/>
      <c r="J9" s="39"/>
    </row>
    <row r="10" spans="1:10" x14ac:dyDescent="0.3">
      <c r="A10" s="46" t="s">
        <v>537</v>
      </c>
      <c r="B10" s="46" t="s">
        <v>93</v>
      </c>
      <c r="C10" s="46">
        <f>1/(3.14159265*C8*C7)</f>
        <v>1.9894367909219546E-2</v>
      </c>
      <c r="D10" s="46" t="s">
        <v>218</v>
      </c>
      <c r="E10" s="46" t="s">
        <v>301</v>
      </c>
      <c r="F10" s="46"/>
      <c r="G10" s="46"/>
    </row>
    <row r="11" spans="1:10" x14ac:dyDescent="0.3">
      <c r="A11" s="46" t="s">
        <v>502</v>
      </c>
      <c r="B11" s="46" t="s">
        <v>312</v>
      </c>
      <c r="C11" s="46">
        <v>1.2250000000000001</v>
      </c>
      <c r="D11" s="46" t="s">
        <v>313</v>
      </c>
      <c r="E11" s="46" t="s">
        <v>502</v>
      </c>
      <c r="F11" s="46"/>
      <c r="G11" s="46"/>
    </row>
    <row r="12" spans="1:10" x14ac:dyDescent="0.3">
      <c r="A12" s="46" t="s">
        <v>538</v>
      </c>
      <c r="B12" s="46" t="s">
        <v>61</v>
      </c>
      <c r="C12" s="46">
        <f>1200*0.00508</f>
        <v>6.0960000000000001</v>
      </c>
      <c r="D12" s="46" t="s">
        <v>48</v>
      </c>
      <c r="E12" s="46" t="s">
        <v>539</v>
      </c>
      <c r="F12" s="46"/>
      <c r="G12" s="46"/>
    </row>
    <row r="13" spans="1:10" x14ac:dyDescent="0.3">
      <c r="A13" s="46" t="s">
        <v>540</v>
      </c>
      <c r="B13" s="46" t="s">
        <v>245</v>
      </c>
      <c r="C13" s="46">
        <f>'05_Assumptions'!D7</f>
        <v>0.75</v>
      </c>
      <c r="D13" s="46" t="s">
        <v>218</v>
      </c>
      <c r="E13" s="46" t="s">
        <v>541</v>
      </c>
      <c r="F13" s="46"/>
      <c r="G13" s="46"/>
    </row>
    <row r="14" spans="1:10" x14ac:dyDescent="0.3">
      <c r="A14" s="46" t="s">
        <v>542</v>
      </c>
      <c r="B14" s="46" t="s">
        <v>543</v>
      </c>
      <c r="C14" s="46">
        <f>'06_LD_and_Speeds'!C19</f>
        <v>27.543655723335199</v>
      </c>
      <c r="D14" s="46" t="s">
        <v>48</v>
      </c>
      <c r="E14" s="46" t="s">
        <v>544</v>
      </c>
      <c r="F14" s="46"/>
      <c r="G14" s="46"/>
    </row>
    <row r="15" spans="1:10" x14ac:dyDescent="0.3">
      <c r="A15" s="46" t="s">
        <v>545</v>
      </c>
      <c r="B15" s="46" t="s">
        <v>546</v>
      </c>
      <c r="C15" s="47">
        <f>0.5*C11*C14^2</f>
        <v>464.67494449593977</v>
      </c>
      <c r="D15" s="46" t="s">
        <v>530</v>
      </c>
      <c r="E15" s="46" t="s">
        <v>547</v>
      </c>
      <c r="F15" s="46"/>
      <c r="G15" s="46"/>
    </row>
    <row r="16" spans="1:10" x14ac:dyDescent="0.3">
      <c r="A16" s="46" t="s">
        <v>548</v>
      </c>
      <c r="B16" s="46" t="s">
        <v>549</v>
      </c>
      <c r="C16" s="47">
        <f>C15*C9/C6</f>
        <v>2.2395304940691186E-2</v>
      </c>
      <c r="D16" s="46" t="s">
        <v>218</v>
      </c>
      <c r="E16" s="46" t="s">
        <v>550</v>
      </c>
      <c r="F16" s="46"/>
      <c r="G16" s="46"/>
    </row>
    <row r="17" spans="1:7" x14ac:dyDescent="0.3">
      <c r="A17" s="46" t="s">
        <v>551</v>
      </c>
      <c r="B17" s="46" t="s">
        <v>552</v>
      </c>
      <c r="C17" s="47">
        <f>C10*C6/C15</f>
        <v>2.2208190468833985E-2</v>
      </c>
      <c r="D17" s="46" t="s">
        <v>218</v>
      </c>
      <c r="E17" s="46" t="s">
        <v>553</v>
      </c>
      <c r="F17" s="46"/>
      <c r="G17" s="46"/>
    </row>
    <row r="18" spans="1:7" x14ac:dyDescent="0.3">
      <c r="A18" s="46" t="s">
        <v>554</v>
      </c>
      <c r="B18" s="46" t="s">
        <v>555</v>
      </c>
      <c r="C18" s="47">
        <f>C12/C14</f>
        <v>0.2213213838145465</v>
      </c>
      <c r="D18" s="46" t="s">
        <v>218</v>
      </c>
      <c r="E18" s="46" t="s">
        <v>556</v>
      </c>
      <c r="F18" s="46"/>
      <c r="G18" s="46"/>
    </row>
    <row r="19" spans="1:7" x14ac:dyDescent="0.3">
      <c r="A19" s="46" t="s">
        <v>557</v>
      </c>
      <c r="B19" s="46" t="s">
        <v>558</v>
      </c>
      <c r="C19" s="47">
        <f>C16+C17+C18</f>
        <v>0.26592487922407165</v>
      </c>
      <c r="D19" s="46" t="s">
        <v>218</v>
      </c>
      <c r="E19" s="46" t="s">
        <v>559</v>
      </c>
      <c r="F19" s="46"/>
      <c r="G19" s="46"/>
    </row>
    <row r="20" spans="1:7" x14ac:dyDescent="0.3">
      <c r="A20" s="46" t="s">
        <v>560</v>
      </c>
      <c r="B20" s="46" t="s">
        <v>561</v>
      </c>
      <c r="C20" s="47">
        <f>C19*C14</f>
        <v>7.3245433216173224</v>
      </c>
      <c r="D20" s="46" t="s">
        <v>48</v>
      </c>
      <c r="E20" s="46" t="s">
        <v>562</v>
      </c>
      <c r="F20" s="46"/>
      <c r="G20" s="46"/>
    </row>
    <row r="21" spans="1:7" x14ac:dyDescent="0.3">
      <c r="A21" s="46" t="s">
        <v>563</v>
      </c>
      <c r="B21" s="46" t="s">
        <v>564</v>
      </c>
      <c r="C21" s="47">
        <f>C20/C13</f>
        <v>9.7660577621564304</v>
      </c>
      <c r="D21" s="46" t="s">
        <v>48</v>
      </c>
      <c r="E21" s="46" t="s">
        <v>565</v>
      </c>
      <c r="F21" s="46"/>
      <c r="G21" s="46"/>
    </row>
    <row r="22" spans="1:7" x14ac:dyDescent="0.3">
      <c r="A22" s="46" t="s">
        <v>566</v>
      </c>
      <c r="B22" s="46" t="s">
        <v>567</v>
      </c>
      <c r="C22" s="47">
        <f>C21*C4</f>
        <v>142036.14428761281</v>
      </c>
      <c r="D22" s="46" t="s">
        <v>69</v>
      </c>
      <c r="E22" s="46" t="s">
        <v>568</v>
      </c>
      <c r="F22" s="46"/>
      <c r="G22" s="46"/>
    </row>
    <row r="23" spans="1:7" x14ac:dyDescent="0.3">
      <c r="A23" s="49" t="s">
        <v>566</v>
      </c>
      <c r="B23" s="49" t="s">
        <v>569</v>
      </c>
      <c r="C23" s="50">
        <f>C22/745.7</f>
        <v>190.47357420894838</v>
      </c>
      <c r="D23" s="49" t="s">
        <v>68</v>
      </c>
      <c r="E23" s="49" t="s">
        <v>570</v>
      </c>
      <c r="F23" s="49"/>
      <c r="G23" s="49"/>
    </row>
    <row r="24" spans="1:7" x14ac:dyDescent="0.3">
      <c r="A24" s="52"/>
      <c r="B24" s="52"/>
      <c r="C24" s="52"/>
      <c r="D24" s="52"/>
      <c r="E24" s="52"/>
      <c r="F24" s="52"/>
      <c r="G24" s="52"/>
    </row>
    <row r="25" spans="1:7" x14ac:dyDescent="0.3">
      <c r="A25" s="52"/>
      <c r="B25" s="52"/>
      <c r="C25" s="52"/>
      <c r="D25" s="52"/>
      <c r="E25" s="52"/>
      <c r="F25" s="52"/>
      <c r="G25" s="52"/>
    </row>
    <row r="26" spans="1:7" x14ac:dyDescent="0.3">
      <c r="A26" s="51" t="s">
        <v>571</v>
      </c>
      <c r="B26" s="51"/>
      <c r="C26" s="51"/>
      <c r="D26" s="51"/>
      <c r="E26" s="51"/>
      <c r="F26" s="51"/>
      <c r="G26" s="51"/>
    </row>
    <row r="27" spans="1:7" x14ac:dyDescent="0.3">
      <c r="A27" s="48" t="s">
        <v>74</v>
      </c>
      <c r="B27" s="48" t="s">
        <v>213</v>
      </c>
      <c r="C27" s="48" t="s">
        <v>14</v>
      </c>
      <c r="D27" s="48" t="s">
        <v>15</v>
      </c>
      <c r="E27" s="48" t="s">
        <v>16</v>
      </c>
      <c r="F27" s="48"/>
      <c r="G27" s="48"/>
    </row>
    <row r="28" spans="1:7" x14ac:dyDescent="0.3">
      <c r="A28" s="48" t="s">
        <v>572</v>
      </c>
      <c r="B28" s="48" t="s">
        <v>573</v>
      </c>
      <c r="C28" s="48">
        <v>24000</v>
      </c>
      <c r="D28" s="48" t="s">
        <v>25</v>
      </c>
      <c r="E28" s="48" t="s">
        <v>574</v>
      </c>
      <c r="F28" s="48"/>
      <c r="G28" s="48"/>
    </row>
    <row r="29" spans="1:7" x14ac:dyDescent="0.3">
      <c r="A29" s="48" t="s">
        <v>575</v>
      </c>
      <c r="B29" s="48" t="s">
        <v>576</v>
      </c>
      <c r="C29" s="48">
        <v>0.56840000000000002</v>
      </c>
      <c r="D29" s="48" t="s">
        <v>313</v>
      </c>
      <c r="E29" s="48" t="s">
        <v>577</v>
      </c>
      <c r="F29" s="48"/>
      <c r="G29" s="48"/>
    </row>
    <row r="30" spans="1:7" x14ac:dyDescent="0.3">
      <c r="A30" s="48" t="s">
        <v>578</v>
      </c>
      <c r="B30" s="48" t="s">
        <v>579</v>
      </c>
      <c r="C30" s="48">
        <v>0.46400000000000002</v>
      </c>
      <c r="D30" s="48" t="s">
        <v>218</v>
      </c>
      <c r="E30" s="48" t="s">
        <v>580</v>
      </c>
      <c r="F30" s="48"/>
      <c r="G30" s="48"/>
    </row>
    <row r="31" spans="1:7" x14ac:dyDescent="0.3">
      <c r="A31" s="48" t="s">
        <v>581</v>
      </c>
      <c r="B31" s="48" t="s">
        <v>582</v>
      </c>
      <c r="C31" s="48">
        <f>100*0.00508</f>
        <v>0.50800000000000001</v>
      </c>
      <c r="D31" s="48" t="s">
        <v>48</v>
      </c>
      <c r="E31" s="48" t="s">
        <v>583</v>
      </c>
      <c r="F31" s="48"/>
      <c r="G31" s="48"/>
    </row>
    <row r="32" spans="1:7" x14ac:dyDescent="0.3">
      <c r="A32" s="48" t="s">
        <v>584</v>
      </c>
      <c r="B32" s="48" t="s">
        <v>585</v>
      </c>
      <c r="C32" s="48">
        <f>'06_LD_and_Speeds'!C17</f>
        <v>40.414518843273797</v>
      </c>
      <c r="D32" s="48" t="s">
        <v>323</v>
      </c>
      <c r="E32" s="48" t="s">
        <v>586</v>
      </c>
      <c r="F32" s="48"/>
      <c r="G32" s="48"/>
    </row>
    <row r="33" spans="1:7" x14ac:dyDescent="0.3">
      <c r="A33" s="48" t="s">
        <v>587</v>
      </c>
      <c r="B33" s="48" t="s">
        <v>588</v>
      </c>
      <c r="C33" s="48">
        <f>C32*0.514444/(C30^0.5)</f>
        <v>30.522248842461607</v>
      </c>
      <c r="D33" s="48" t="s">
        <v>48</v>
      </c>
      <c r="E33" s="48" t="s">
        <v>589</v>
      </c>
      <c r="F33" s="48"/>
      <c r="G33" s="48"/>
    </row>
    <row r="34" spans="1:7" x14ac:dyDescent="0.3">
      <c r="A34" s="48" t="s">
        <v>545</v>
      </c>
      <c r="B34" s="48" t="s">
        <v>590</v>
      </c>
      <c r="C34" s="48">
        <f>0.5*C29*C33^2</f>
        <v>264.76290106480656</v>
      </c>
      <c r="D34" s="48" t="s">
        <v>530</v>
      </c>
      <c r="E34" s="48" t="s">
        <v>547</v>
      </c>
      <c r="F34" s="48"/>
      <c r="G34" s="48"/>
    </row>
    <row r="35" spans="1:7" x14ac:dyDescent="0.3">
      <c r="A35" s="48" t="s">
        <v>548</v>
      </c>
      <c r="B35" s="48" t="s">
        <v>591</v>
      </c>
      <c r="C35" s="48">
        <f>C34*$C$9/$C$6</f>
        <v>1.2760416666666658E-2</v>
      </c>
      <c r="D35" s="48" t="s">
        <v>218</v>
      </c>
      <c r="E35" s="48" t="s">
        <v>550</v>
      </c>
      <c r="F35" s="48"/>
      <c r="G35" s="48"/>
    </row>
    <row r="36" spans="1:7" x14ac:dyDescent="0.3">
      <c r="A36" s="48" t="s">
        <v>551</v>
      </c>
      <c r="B36" s="48" t="s">
        <v>592</v>
      </c>
      <c r="C36" s="48">
        <f>$C$10*$C$6/C34</f>
        <v>3.8976720801736281E-2</v>
      </c>
      <c r="D36" s="48" t="s">
        <v>218</v>
      </c>
      <c r="E36" s="48" t="s">
        <v>553</v>
      </c>
      <c r="F36" s="48"/>
      <c r="G36" s="48"/>
    </row>
    <row r="37" spans="1:7" x14ac:dyDescent="0.3">
      <c r="A37" s="48" t="s">
        <v>554</v>
      </c>
      <c r="B37" s="48" t="s">
        <v>593</v>
      </c>
      <c r="C37" s="48">
        <f>C31/C33</f>
        <v>1.6643596696364199E-2</v>
      </c>
      <c r="D37" s="48" t="s">
        <v>218</v>
      </c>
      <c r="E37" s="48" t="s">
        <v>556</v>
      </c>
      <c r="F37" s="48"/>
      <c r="G37" s="48"/>
    </row>
    <row r="38" spans="1:7" x14ac:dyDescent="0.3">
      <c r="A38" s="48" t="s">
        <v>557</v>
      </c>
      <c r="B38" s="48" t="s">
        <v>594</v>
      </c>
      <c r="C38" s="48">
        <f>C35+C36+C37</f>
        <v>6.8380734164767143E-2</v>
      </c>
      <c r="D38" s="48" t="s">
        <v>218</v>
      </c>
      <c r="E38" s="48" t="s">
        <v>595</v>
      </c>
      <c r="F38" s="48"/>
      <c r="G38" s="48"/>
    </row>
    <row r="39" spans="1:7" x14ac:dyDescent="0.3">
      <c r="A39" s="48" t="s">
        <v>596</v>
      </c>
      <c r="B39" s="48" t="s">
        <v>597</v>
      </c>
      <c r="C39" s="48">
        <f>C38*C33</f>
        <v>2.0871337842072388</v>
      </c>
      <c r="D39" s="48" t="s">
        <v>48</v>
      </c>
      <c r="E39" s="48" t="s">
        <v>598</v>
      </c>
      <c r="F39" s="48"/>
      <c r="G39" s="48"/>
    </row>
    <row r="40" spans="1:7" x14ac:dyDescent="0.3">
      <c r="A40" s="48" t="s">
        <v>599</v>
      </c>
      <c r="B40" s="48" t="s">
        <v>600</v>
      </c>
      <c r="C40" s="48">
        <f>1.132*C30-0.132</f>
        <v>0.39324799999999993</v>
      </c>
      <c r="D40" s="48" t="s">
        <v>218</v>
      </c>
      <c r="E40" s="48" t="s">
        <v>601</v>
      </c>
      <c r="F40" s="48"/>
      <c r="G40" s="48"/>
    </row>
    <row r="41" spans="1:7" x14ac:dyDescent="0.3">
      <c r="A41" s="48" t="s">
        <v>602</v>
      </c>
      <c r="B41" s="48" t="s">
        <v>603</v>
      </c>
      <c r="C41" s="48">
        <f>C39/($C$13*C40)</f>
        <v>7.0765650317602429</v>
      </c>
      <c r="D41" s="48" t="s">
        <v>48</v>
      </c>
      <c r="E41" s="48" t="s">
        <v>604</v>
      </c>
      <c r="F41" s="48"/>
      <c r="G41" s="48"/>
    </row>
    <row r="42" spans="1:7" x14ac:dyDescent="0.3">
      <c r="A42" s="48" t="s">
        <v>605</v>
      </c>
      <c r="B42" s="48" t="s">
        <v>606</v>
      </c>
      <c r="C42" s="48">
        <f>C41*$C$4</f>
        <v>102920.54751167395</v>
      </c>
      <c r="D42" s="48" t="s">
        <v>69</v>
      </c>
      <c r="E42" s="48" t="s">
        <v>607</v>
      </c>
      <c r="F42" s="48"/>
      <c r="G42" s="48"/>
    </row>
    <row r="43" spans="1:7" x14ac:dyDescent="0.3">
      <c r="A43" s="48" t="s">
        <v>605</v>
      </c>
      <c r="B43" s="48" t="s">
        <v>608</v>
      </c>
      <c r="C43" s="48">
        <f>C42/745.7</f>
        <v>138.01870391802862</v>
      </c>
      <c r="D43" s="48" t="s">
        <v>68</v>
      </c>
      <c r="E43" s="48" t="s">
        <v>609</v>
      </c>
      <c r="F43" s="48"/>
      <c r="G43" s="48"/>
    </row>
    <row r="44" spans="1:7" x14ac:dyDescent="0.3">
      <c r="A44" s="48" t="s">
        <v>610</v>
      </c>
      <c r="B44" s="48" t="s">
        <v>611</v>
      </c>
      <c r="C44" s="48" t="str">
        <f>IF(C43&lt;=$C$23,"PASS","FAIL")</f>
        <v>PASS</v>
      </c>
      <c r="D44" s="48" t="s">
        <v>218</v>
      </c>
      <c r="E44" s="48" t="s">
        <v>612</v>
      </c>
      <c r="F44" s="48"/>
      <c r="G44" s="48"/>
    </row>
    <row r="47" spans="1:7" x14ac:dyDescent="0.3">
      <c r="A47" s="18" t="s">
        <v>613</v>
      </c>
      <c r="B47" s="45"/>
      <c r="C47" s="45"/>
      <c r="D47" s="45"/>
      <c r="E47" s="45"/>
    </row>
    <row r="48" spans="1:7" x14ac:dyDescent="0.3">
      <c r="A48" s="18" t="s">
        <v>74</v>
      </c>
      <c r="B48" s="45" t="s">
        <v>213</v>
      </c>
      <c r="C48" s="45" t="s">
        <v>14</v>
      </c>
      <c r="D48" s="45" t="s">
        <v>15</v>
      </c>
      <c r="E48" s="45" t="s">
        <v>16</v>
      </c>
    </row>
    <row r="49" spans="1:5" x14ac:dyDescent="0.3">
      <c r="A49" s="18" t="s">
        <v>614</v>
      </c>
      <c r="B49" s="45" t="s">
        <v>615</v>
      </c>
      <c r="C49" s="45">
        <v>18000</v>
      </c>
      <c r="D49" s="45" t="s">
        <v>25</v>
      </c>
      <c r="E49" s="45" t="s">
        <v>616</v>
      </c>
    </row>
    <row r="50" spans="1:5" x14ac:dyDescent="0.3">
      <c r="A50" s="18" t="s">
        <v>617</v>
      </c>
      <c r="B50" s="45" t="s">
        <v>316</v>
      </c>
      <c r="C50" s="45">
        <v>0.69798000000000004</v>
      </c>
      <c r="D50" s="45" t="s">
        <v>313</v>
      </c>
      <c r="E50" s="45" t="s">
        <v>618</v>
      </c>
    </row>
    <row r="51" spans="1:5" x14ac:dyDescent="0.3">
      <c r="A51" s="18" t="s">
        <v>619</v>
      </c>
      <c r="B51" s="45" t="s">
        <v>319</v>
      </c>
      <c r="C51" s="45">
        <v>0.56977999999999995</v>
      </c>
      <c r="D51" s="45" t="s">
        <v>218</v>
      </c>
      <c r="E51" s="45" t="s">
        <v>620</v>
      </c>
    </row>
    <row r="52" spans="1:5" x14ac:dyDescent="0.3">
      <c r="A52" s="18" t="s">
        <v>621</v>
      </c>
      <c r="B52" s="45" t="s">
        <v>622</v>
      </c>
      <c r="C52" s="45">
        <f>300*0.00508</f>
        <v>1.524</v>
      </c>
      <c r="D52" s="45" t="s">
        <v>48</v>
      </c>
      <c r="E52" s="45" t="s">
        <v>623</v>
      </c>
    </row>
    <row r="53" spans="1:5" x14ac:dyDescent="0.3">
      <c r="A53" s="18" t="s">
        <v>584</v>
      </c>
      <c r="B53" s="45" t="s">
        <v>585</v>
      </c>
      <c r="C53" s="45">
        <f>'06_LD_and_Speeds'!C17</f>
        <v>40.414518843273797</v>
      </c>
      <c r="D53" s="45" t="s">
        <v>323</v>
      </c>
      <c r="E53" s="45" t="s">
        <v>586</v>
      </c>
    </row>
    <row r="54" spans="1:5" x14ac:dyDescent="0.3">
      <c r="A54" s="18" t="s">
        <v>624</v>
      </c>
      <c r="B54" s="45" t="s">
        <v>625</v>
      </c>
      <c r="C54" s="45">
        <f>C53*0.514444/(C51^0.5)</f>
        <v>27.543677111691473</v>
      </c>
      <c r="D54" s="45" t="s">
        <v>48</v>
      </c>
      <c r="E54" s="45" t="s">
        <v>626</v>
      </c>
    </row>
    <row r="55" spans="1:5" x14ac:dyDescent="0.3">
      <c r="A55" s="18" t="s">
        <v>545</v>
      </c>
      <c r="B55" s="45" t="s">
        <v>627</v>
      </c>
      <c r="C55" s="45">
        <f>0.5*C50*C54^2</f>
        <v>264.76271140126943</v>
      </c>
      <c r="D55" s="45" t="s">
        <v>530</v>
      </c>
      <c r="E55" s="45" t="s">
        <v>547</v>
      </c>
    </row>
    <row r="56" spans="1:5" x14ac:dyDescent="0.3">
      <c r="A56" s="18" t="s">
        <v>548</v>
      </c>
      <c r="B56" s="45" t="s">
        <v>628</v>
      </c>
      <c r="C56" s="45">
        <f>C55*$C$9/$C$6</f>
        <v>1.2760407525711673E-2</v>
      </c>
      <c r="D56" s="45" t="s">
        <v>218</v>
      </c>
      <c r="E56" s="45" t="s">
        <v>550</v>
      </c>
    </row>
    <row r="57" spans="1:5" x14ac:dyDescent="0.3">
      <c r="A57" s="18" t="s">
        <v>551</v>
      </c>
      <c r="B57" s="45" t="s">
        <v>629</v>
      </c>
      <c r="C57" s="45">
        <f>$C$10*$C$6/C55</f>
        <v>3.8976748722823404E-2</v>
      </c>
      <c r="D57" s="45" t="s">
        <v>218</v>
      </c>
      <c r="E57" s="45" t="s">
        <v>553</v>
      </c>
    </row>
    <row r="58" spans="1:5" x14ac:dyDescent="0.3">
      <c r="A58" s="18" t="s">
        <v>554</v>
      </c>
      <c r="B58" s="45" t="s">
        <v>630</v>
      </c>
      <c r="C58" s="45">
        <f>C52/C54</f>
        <v>5.5330302988234902E-2</v>
      </c>
      <c r="D58" s="45" t="s">
        <v>218</v>
      </c>
      <c r="E58" s="45" t="s">
        <v>556</v>
      </c>
    </row>
    <row r="59" spans="1:5" x14ac:dyDescent="0.3">
      <c r="A59" s="18" t="s">
        <v>557</v>
      </c>
      <c r="B59" s="45" t="s">
        <v>631</v>
      </c>
      <c r="C59" s="45">
        <f>C56+C57+C58</f>
        <v>0.10706745923676997</v>
      </c>
      <c r="D59" s="45" t="s">
        <v>218</v>
      </c>
      <c r="E59" s="45" t="s">
        <v>632</v>
      </c>
    </row>
    <row r="60" spans="1:5" x14ac:dyDescent="0.3">
      <c r="A60" s="18" t="s">
        <v>596</v>
      </c>
      <c r="B60" s="45" t="s">
        <v>633</v>
      </c>
      <c r="C60" s="45">
        <f>C59*C54</f>
        <v>2.9490315263867806</v>
      </c>
      <c r="D60" s="45" t="s">
        <v>48</v>
      </c>
      <c r="E60" s="45" t="s">
        <v>598</v>
      </c>
    </row>
    <row r="61" spans="1:5" x14ac:dyDescent="0.3">
      <c r="A61" s="18" t="s">
        <v>599</v>
      </c>
      <c r="B61" s="45" t="s">
        <v>634</v>
      </c>
      <c r="C61" s="45">
        <f>1.132*C51-0.132</f>
        <v>0.51299095999999988</v>
      </c>
      <c r="D61" s="45" t="s">
        <v>218</v>
      </c>
      <c r="E61" s="45" t="s">
        <v>601</v>
      </c>
    </row>
    <row r="62" spans="1:5" x14ac:dyDescent="0.3">
      <c r="A62" s="18" t="s">
        <v>602</v>
      </c>
      <c r="B62" s="45" t="s">
        <v>635</v>
      </c>
      <c r="C62" s="45">
        <f>C60/($C$13*C61)</f>
        <v>7.6649343590428467</v>
      </c>
      <c r="D62" s="45" t="s">
        <v>48</v>
      </c>
      <c r="E62" s="45" t="s">
        <v>604</v>
      </c>
    </row>
    <row r="63" spans="1:5" x14ac:dyDescent="0.3">
      <c r="A63" s="18" t="s">
        <v>605</v>
      </c>
      <c r="B63" s="45" t="s">
        <v>636</v>
      </c>
      <c r="C63" s="45">
        <f>C62*$C$4</f>
        <v>111477.70667451969</v>
      </c>
      <c r="D63" s="45" t="s">
        <v>69</v>
      </c>
      <c r="E63" s="45" t="s">
        <v>607</v>
      </c>
    </row>
    <row r="64" spans="1:5" x14ac:dyDescent="0.3">
      <c r="A64" s="18" t="s">
        <v>605</v>
      </c>
      <c r="B64" s="45" t="s">
        <v>637</v>
      </c>
      <c r="C64" s="45">
        <f>C63/745.7</f>
        <v>149.49404140340579</v>
      </c>
      <c r="D64" s="45" t="s">
        <v>68</v>
      </c>
      <c r="E64" s="45" t="s">
        <v>609</v>
      </c>
    </row>
    <row r="65" spans="1:5" x14ac:dyDescent="0.3">
      <c r="A65" s="18" t="s">
        <v>610</v>
      </c>
      <c r="B65" s="45" t="s">
        <v>638</v>
      </c>
      <c r="C65" s="45" t="str">
        <f>IF(C64&lt;=$C$23,"PASS","FAIL")</f>
        <v>PASS</v>
      </c>
      <c r="D65" s="45" t="s">
        <v>218</v>
      </c>
      <c r="E65" s="45" t="s">
        <v>612</v>
      </c>
    </row>
    <row r="70" spans="1:5" x14ac:dyDescent="0.3">
      <c r="A70" s="40" t="s">
        <v>639</v>
      </c>
      <c r="B70" s="40"/>
      <c r="C70" s="40"/>
      <c r="D70" s="40"/>
      <c r="E70" s="40"/>
    </row>
    <row r="71" spans="1:5" x14ac:dyDescent="0.3">
      <c r="A71" s="40" t="s">
        <v>13</v>
      </c>
      <c r="B71" s="40" t="s">
        <v>640</v>
      </c>
      <c r="C71" s="40" t="s">
        <v>641</v>
      </c>
      <c r="D71" s="40" t="s">
        <v>610</v>
      </c>
      <c r="E71" s="40" t="s">
        <v>16</v>
      </c>
    </row>
    <row r="72" spans="1:5" x14ac:dyDescent="0.3">
      <c r="A72" s="40" t="s">
        <v>642</v>
      </c>
      <c r="B72" s="40" t="s">
        <v>643</v>
      </c>
      <c r="C72" s="41">
        <f>'12_Constraint_Analysis'!C23</f>
        <v>190.47357420894838</v>
      </c>
      <c r="D72" s="40" t="s">
        <v>644</v>
      </c>
      <c r="E72" s="40" t="s">
        <v>645</v>
      </c>
    </row>
    <row r="73" spans="1:5" x14ac:dyDescent="0.3">
      <c r="A73" s="40" t="s">
        <v>112</v>
      </c>
      <c r="B73" s="40" t="s">
        <v>646</v>
      </c>
      <c r="C73" s="40">
        <f>'12_Constraint_Analysis'!C43</f>
        <v>138.01870391802862</v>
      </c>
      <c r="D73" s="40" t="s">
        <v>644</v>
      </c>
      <c r="E73" s="40" t="s">
        <v>647</v>
      </c>
    </row>
    <row r="74" spans="1:5" x14ac:dyDescent="0.3">
      <c r="A74" s="40" t="s">
        <v>111</v>
      </c>
      <c r="B74" s="40" t="s">
        <v>648</v>
      </c>
      <c r="C74" s="40">
        <f>'12_Constraint_Analysis'!C64</f>
        <v>149.49404140340579</v>
      </c>
      <c r="D74" s="40" t="s">
        <v>644</v>
      </c>
      <c r="E74" s="40" t="s">
        <v>649</v>
      </c>
    </row>
    <row r="75" spans="1:5" x14ac:dyDescent="0.3">
      <c r="A75" s="40" t="s">
        <v>650</v>
      </c>
      <c r="B75" s="40" t="s">
        <v>218</v>
      </c>
      <c r="C75" s="40">
        <f>MAX(C71:C73)</f>
        <v>190.47357420894838</v>
      </c>
      <c r="D75" s="40" t="s">
        <v>218</v>
      </c>
      <c r="E75" s="40" t="s">
        <v>651</v>
      </c>
    </row>
    <row r="76" spans="1:5" x14ac:dyDescent="0.3">
      <c r="A76" s="40" t="s">
        <v>652</v>
      </c>
      <c r="B76" s="40" t="s">
        <v>218</v>
      </c>
      <c r="C76" s="40">
        <f>C75*1.15</f>
        <v>219.04461034029063</v>
      </c>
      <c r="D76" s="40" t="s">
        <v>68</v>
      </c>
      <c r="E76" s="40" t="s">
        <v>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68C6-B7FD-45E2-844B-3CC10F32863D}">
  <dimension ref="A1:E12"/>
  <sheetViews>
    <sheetView workbookViewId="0">
      <selection activeCell="C11" sqref="C11"/>
    </sheetView>
  </sheetViews>
  <sheetFormatPr defaultRowHeight="14.4" x14ac:dyDescent="0.3"/>
  <cols>
    <col min="1" max="1" width="37.44140625" customWidth="1"/>
    <col min="2" max="2" width="24.6640625" customWidth="1"/>
    <col min="3" max="3" width="25.109375" customWidth="1"/>
    <col min="4" max="4" width="17.109375" customWidth="1"/>
    <col min="5" max="5" width="35.6640625" customWidth="1"/>
  </cols>
  <sheetData>
    <row r="1" spans="1:5" x14ac:dyDescent="0.3">
      <c r="A1" t="s">
        <v>13</v>
      </c>
      <c r="B1" t="s">
        <v>654</v>
      </c>
      <c r="C1" t="s">
        <v>655</v>
      </c>
      <c r="D1" t="s">
        <v>610</v>
      </c>
      <c r="E1" t="s">
        <v>16</v>
      </c>
    </row>
    <row r="2" spans="1:5" x14ac:dyDescent="0.3">
      <c r="A2" t="s">
        <v>1</v>
      </c>
      <c r="B2" t="s">
        <v>656</v>
      </c>
      <c r="C2" t="s">
        <v>12</v>
      </c>
      <c r="D2" t="s">
        <v>644</v>
      </c>
      <c r="E2" t="s">
        <v>657</v>
      </c>
    </row>
    <row r="3" spans="1:5" x14ac:dyDescent="0.3">
      <c r="A3" t="s">
        <v>19</v>
      </c>
      <c r="B3" t="s">
        <v>658</v>
      </c>
      <c r="C3" t="s">
        <v>659</v>
      </c>
      <c r="D3" t="s">
        <v>644</v>
      </c>
      <c r="E3" t="s">
        <v>784</v>
      </c>
    </row>
    <row r="4" spans="1:5" x14ac:dyDescent="0.3">
      <c r="A4" t="s">
        <v>22</v>
      </c>
      <c r="B4" t="s">
        <v>660</v>
      </c>
      <c r="C4" t="s">
        <v>661</v>
      </c>
      <c r="D4" t="s">
        <v>644</v>
      </c>
      <c r="E4" t="s">
        <v>785</v>
      </c>
    </row>
    <row r="5" spans="1:5" x14ac:dyDescent="0.3">
      <c r="A5" t="s">
        <v>24</v>
      </c>
      <c r="B5" t="s">
        <v>662</v>
      </c>
      <c r="C5" t="s">
        <v>663</v>
      </c>
      <c r="D5" t="s">
        <v>644</v>
      </c>
      <c r="E5" t="s">
        <v>664</v>
      </c>
    </row>
    <row r="6" spans="1:5" x14ac:dyDescent="0.3">
      <c r="A6" t="s">
        <v>27</v>
      </c>
      <c r="B6" t="s">
        <v>665</v>
      </c>
      <c r="C6" t="s">
        <v>666</v>
      </c>
      <c r="D6" t="s">
        <v>644</v>
      </c>
      <c r="E6" t="s">
        <v>667</v>
      </c>
    </row>
    <row r="7" spans="1:5" x14ac:dyDescent="0.3">
      <c r="A7" t="s">
        <v>28</v>
      </c>
      <c r="B7" t="s">
        <v>668</v>
      </c>
      <c r="C7" t="s">
        <v>668</v>
      </c>
      <c r="D7" t="s">
        <v>644</v>
      </c>
      <c r="E7" t="s">
        <v>786</v>
      </c>
    </row>
    <row r="8" spans="1:5" x14ac:dyDescent="0.3">
      <c r="A8" t="s">
        <v>3</v>
      </c>
      <c r="B8" t="s">
        <v>669</v>
      </c>
      <c r="C8" t="s">
        <v>670</v>
      </c>
      <c r="D8" t="s">
        <v>644</v>
      </c>
      <c r="E8" t="s">
        <v>671</v>
      </c>
    </row>
    <row r="9" spans="1:5" x14ac:dyDescent="0.3">
      <c r="A9" t="s">
        <v>32</v>
      </c>
      <c r="B9" t="s">
        <v>672</v>
      </c>
      <c r="C9" t="s">
        <v>382</v>
      </c>
      <c r="D9" t="s">
        <v>644</v>
      </c>
      <c r="E9" t="s">
        <v>673</v>
      </c>
    </row>
    <row r="10" spans="1:5" x14ac:dyDescent="0.3">
      <c r="A10" t="s">
        <v>37</v>
      </c>
      <c r="B10" t="s">
        <v>674</v>
      </c>
      <c r="C10" t="s">
        <v>675</v>
      </c>
      <c r="D10" t="s">
        <v>644</v>
      </c>
      <c r="E10" t="s">
        <v>676</v>
      </c>
    </row>
    <row r="11" spans="1:5" x14ac:dyDescent="0.3">
      <c r="A11" t="s">
        <v>39</v>
      </c>
      <c r="B11" t="s">
        <v>677</v>
      </c>
      <c r="D11" t="s">
        <v>644</v>
      </c>
      <c r="E11" t="s">
        <v>787</v>
      </c>
    </row>
    <row r="12" spans="1:5" x14ac:dyDescent="0.3">
      <c r="A12" t="s">
        <v>695</v>
      </c>
      <c r="B12" t="s">
        <v>218</v>
      </c>
      <c r="C12" t="s">
        <v>788</v>
      </c>
      <c r="D12" t="s">
        <v>789</v>
      </c>
      <c r="E12" t="s">
        <v>790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C36F-6AB4-4A85-98FC-6F63737C4066}">
  <dimension ref="A1:H31"/>
  <sheetViews>
    <sheetView topLeftCell="A10" workbookViewId="0">
      <selection activeCell="C25" sqref="C25"/>
    </sheetView>
  </sheetViews>
  <sheetFormatPr defaultRowHeight="14.4" x14ac:dyDescent="0.3"/>
  <cols>
    <col min="1" max="1" width="32.33203125" customWidth="1"/>
    <col min="2" max="2" width="23.33203125" customWidth="1"/>
    <col min="3" max="3" width="23.88671875" customWidth="1"/>
  </cols>
  <sheetData>
    <row r="1" spans="1:5" x14ac:dyDescent="0.3">
      <c r="A1" t="s">
        <v>74</v>
      </c>
      <c r="B1" t="s">
        <v>213</v>
      </c>
      <c r="C1" t="s">
        <v>14</v>
      </c>
      <c r="D1" t="s">
        <v>15</v>
      </c>
      <c r="E1" t="s">
        <v>16</v>
      </c>
    </row>
    <row r="2" spans="1:5" x14ac:dyDescent="0.3">
      <c r="A2" t="s">
        <v>678</v>
      </c>
      <c r="B2" t="s">
        <v>679</v>
      </c>
      <c r="C2">
        <v>0</v>
      </c>
      <c r="D2" t="s">
        <v>40</v>
      </c>
      <c r="E2" t="s">
        <v>680</v>
      </c>
    </row>
    <row r="3" spans="1:5" x14ac:dyDescent="0.3">
      <c r="A3" t="s">
        <v>681</v>
      </c>
      <c r="B3" t="s">
        <v>682</v>
      </c>
      <c r="C3">
        <v>318.14999999999998</v>
      </c>
      <c r="D3" t="s">
        <v>93</v>
      </c>
      <c r="E3" t="s">
        <v>683</v>
      </c>
    </row>
    <row r="4" spans="1:5" x14ac:dyDescent="0.3">
      <c r="A4" t="s">
        <v>684</v>
      </c>
      <c r="B4" t="s">
        <v>685</v>
      </c>
      <c r="C4">
        <v>101325</v>
      </c>
      <c r="D4" t="s">
        <v>95</v>
      </c>
      <c r="E4" t="s">
        <v>686</v>
      </c>
    </row>
    <row r="5" spans="1:5" x14ac:dyDescent="0.3">
      <c r="A5" t="s">
        <v>687</v>
      </c>
      <c r="B5" t="s">
        <v>131</v>
      </c>
      <c r="C5">
        <v>287.05</v>
      </c>
      <c r="D5" t="s">
        <v>101</v>
      </c>
      <c r="E5" t="s">
        <v>688</v>
      </c>
    </row>
    <row r="6" spans="1:5" x14ac:dyDescent="0.3">
      <c r="A6" t="s">
        <v>689</v>
      </c>
      <c r="B6" t="s">
        <v>690</v>
      </c>
      <c r="C6">
        <f>C4/(C5*C3)</f>
        <v>1.1094995582122225</v>
      </c>
      <c r="D6" t="s">
        <v>313</v>
      </c>
      <c r="E6" t="s">
        <v>691</v>
      </c>
    </row>
    <row r="7" spans="1:5" x14ac:dyDescent="0.3">
      <c r="A7" t="s">
        <v>692</v>
      </c>
      <c r="B7" t="s">
        <v>693</v>
      </c>
      <c r="C7">
        <f>C6/1.225</f>
        <v>0.90571392507120196</v>
      </c>
      <c r="D7" t="s">
        <v>218</v>
      </c>
      <c r="E7" t="s">
        <v>694</v>
      </c>
    </row>
    <row r="8" spans="1:5" x14ac:dyDescent="0.3">
      <c r="A8" t="s">
        <v>695</v>
      </c>
      <c r="B8" t="s">
        <v>696</v>
      </c>
      <c r="C8">
        <f>220*745.7</f>
        <v>164054</v>
      </c>
      <c r="D8" t="s">
        <v>69</v>
      </c>
      <c r="E8" t="s">
        <v>697</v>
      </c>
    </row>
    <row r="9" spans="1:5" x14ac:dyDescent="0.3">
      <c r="A9" t="s">
        <v>698</v>
      </c>
      <c r="B9" t="s">
        <v>699</v>
      </c>
      <c r="C9">
        <v>0.5</v>
      </c>
      <c r="D9" t="s">
        <v>218</v>
      </c>
      <c r="E9" t="s">
        <v>700</v>
      </c>
    </row>
    <row r="10" spans="1:5" x14ac:dyDescent="0.3">
      <c r="A10" t="s">
        <v>500</v>
      </c>
      <c r="B10" t="s">
        <v>69</v>
      </c>
      <c r="C10">
        <f>'08_Weight_Estimation'!C24*9.80665</f>
        <v>14543.856666300322</v>
      </c>
      <c r="D10" t="s">
        <v>65</v>
      </c>
      <c r="E10" t="s">
        <v>701</v>
      </c>
    </row>
    <row r="11" spans="1:5" x14ac:dyDescent="0.3">
      <c r="A11" t="s">
        <v>526</v>
      </c>
      <c r="B11" t="s">
        <v>527</v>
      </c>
      <c r="C11">
        <f>C10/'11_Geometry_Sizing'!C15</f>
        <v>518.71915310656016</v>
      </c>
      <c r="D11" t="s">
        <v>530</v>
      </c>
      <c r="E11" t="s">
        <v>702</v>
      </c>
    </row>
    <row r="12" spans="1:5" x14ac:dyDescent="0.3">
      <c r="A12" t="s">
        <v>22</v>
      </c>
      <c r="B12" t="s">
        <v>505</v>
      </c>
      <c r="C12">
        <v>50</v>
      </c>
      <c r="D12" t="s">
        <v>20</v>
      </c>
      <c r="E12" t="s">
        <v>703</v>
      </c>
    </row>
    <row r="13" spans="1:5" x14ac:dyDescent="0.3">
      <c r="A13" t="s">
        <v>704</v>
      </c>
      <c r="B13" t="s">
        <v>705</v>
      </c>
      <c r="C13">
        <f>1.1*C12*0.514444/(C7^0.5)</f>
        <v>29.730709498547817</v>
      </c>
      <c r="D13" t="s">
        <v>48</v>
      </c>
      <c r="E13" t="s">
        <v>706</v>
      </c>
    </row>
    <row r="14" spans="1:5" x14ac:dyDescent="0.3">
      <c r="A14" t="s">
        <v>707</v>
      </c>
      <c r="B14" t="s">
        <v>708</v>
      </c>
      <c r="C14">
        <f>C13/(2^0.5)</f>
        <v>21.022786295910461</v>
      </c>
      <c r="D14" t="s">
        <v>48</v>
      </c>
      <c r="E14" t="s">
        <v>709</v>
      </c>
    </row>
    <row r="15" spans="1:5" x14ac:dyDescent="0.3">
      <c r="A15" t="s">
        <v>710</v>
      </c>
      <c r="B15" t="s">
        <v>711</v>
      </c>
      <c r="C15">
        <f>0.5*C6*C14^2</f>
        <v>245.17584971052258</v>
      </c>
      <c r="D15" t="s">
        <v>530</v>
      </c>
      <c r="E15" t="s">
        <v>712</v>
      </c>
    </row>
    <row r="16" spans="1:5" x14ac:dyDescent="0.3">
      <c r="A16" t="s">
        <v>713</v>
      </c>
      <c r="B16" t="s">
        <v>714</v>
      </c>
      <c r="C16">
        <v>0.8</v>
      </c>
      <c r="D16" t="s">
        <v>218</v>
      </c>
      <c r="E16" t="s">
        <v>715</v>
      </c>
    </row>
    <row r="17" spans="1:8" x14ac:dyDescent="0.3">
      <c r="A17" t="s">
        <v>716</v>
      </c>
      <c r="B17" t="s">
        <v>717</v>
      </c>
      <c r="C17">
        <v>0.04</v>
      </c>
      <c r="D17" t="s">
        <v>218</v>
      </c>
      <c r="E17" t="s">
        <v>718</v>
      </c>
    </row>
    <row r="18" spans="1:8" x14ac:dyDescent="0.3">
      <c r="A18" t="s">
        <v>719</v>
      </c>
      <c r="B18" t="s">
        <v>720</v>
      </c>
      <c r="C18">
        <v>0.04</v>
      </c>
      <c r="D18" t="s">
        <v>218</v>
      </c>
      <c r="E18" t="s">
        <v>721</v>
      </c>
    </row>
    <row r="19" spans="1:8" x14ac:dyDescent="0.3">
      <c r="A19" t="s">
        <v>722</v>
      </c>
      <c r="B19" t="s">
        <v>723</v>
      </c>
      <c r="C19">
        <f>C8*C9/(C14*C10)</f>
        <v>0.26827917791674749</v>
      </c>
      <c r="D19" t="s">
        <v>218</v>
      </c>
      <c r="E19" t="s">
        <v>724</v>
      </c>
    </row>
    <row r="20" spans="1:8" x14ac:dyDescent="0.3">
      <c r="A20" t="s">
        <v>548</v>
      </c>
      <c r="B20" t="s">
        <v>725</v>
      </c>
      <c r="C20">
        <f>C15*C17/C11</f>
        <v>1.8906249999999999E-2</v>
      </c>
      <c r="D20" t="s">
        <v>218</v>
      </c>
      <c r="E20" t="s">
        <v>726</v>
      </c>
    </row>
    <row r="21" spans="1:8" x14ac:dyDescent="0.3">
      <c r="A21" t="s">
        <v>727</v>
      </c>
      <c r="B21" t="s">
        <v>728</v>
      </c>
      <c r="C21">
        <f>C15*C16/C11</f>
        <v>0.37812499999999999</v>
      </c>
      <c r="D21" t="s">
        <v>218</v>
      </c>
      <c r="E21" t="s">
        <v>729</v>
      </c>
    </row>
    <row r="22" spans="1:8" x14ac:dyDescent="0.3">
      <c r="A22" t="s">
        <v>730</v>
      </c>
      <c r="B22" t="s">
        <v>731</v>
      </c>
      <c r="C22">
        <f>C18*(1-C21)</f>
        <v>2.4874999999999998E-2</v>
      </c>
      <c r="D22" t="s">
        <v>218</v>
      </c>
      <c r="E22" t="s">
        <v>732</v>
      </c>
    </row>
    <row r="23" spans="1:8" x14ac:dyDescent="0.3">
      <c r="A23" t="s">
        <v>733</v>
      </c>
      <c r="B23" t="s">
        <v>734</v>
      </c>
      <c r="C23">
        <f>C19-C20-C22</f>
        <v>0.22449792791674747</v>
      </c>
      <c r="D23" t="s">
        <v>218</v>
      </c>
      <c r="E23" t="s">
        <v>735</v>
      </c>
    </row>
    <row r="24" spans="1:8" x14ac:dyDescent="0.3">
      <c r="A24" t="s">
        <v>736</v>
      </c>
      <c r="B24" t="s">
        <v>737</v>
      </c>
      <c r="C24">
        <f>C13^2/(2*9.80665*C23)</f>
        <v>200.74629502519275</v>
      </c>
      <c r="D24" t="s">
        <v>40</v>
      </c>
      <c r="E24" t="s">
        <v>738</v>
      </c>
    </row>
    <row r="25" spans="1:8" x14ac:dyDescent="0.3">
      <c r="A25" t="s">
        <v>739</v>
      </c>
      <c r="B25" t="s">
        <v>740</v>
      </c>
      <c r="C25">
        <f>3*C13</f>
        <v>89.192128495643459</v>
      </c>
      <c r="D25" t="s">
        <v>40</v>
      </c>
      <c r="E25" t="s">
        <v>741</v>
      </c>
    </row>
    <row r="26" spans="1:8" x14ac:dyDescent="0.3">
      <c r="A26" t="s">
        <v>742</v>
      </c>
      <c r="B26" t="s">
        <v>743</v>
      </c>
      <c r="C26">
        <v>15.24</v>
      </c>
      <c r="D26" t="s">
        <v>40</v>
      </c>
      <c r="E26" t="s">
        <v>744</v>
      </c>
    </row>
    <row r="27" spans="1:8" x14ac:dyDescent="0.3">
      <c r="A27" t="s">
        <v>745</v>
      </c>
      <c r="B27" t="s">
        <v>746</v>
      </c>
      <c r="C27">
        <v>10</v>
      </c>
      <c r="D27" t="s">
        <v>747</v>
      </c>
      <c r="E27" t="s">
        <v>748</v>
      </c>
    </row>
    <row r="28" spans="1:8" x14ac:dyDescent="0.3">
      <c r="A28" t="s">
        <v>749</v>
      </c>
      <c r="B28" t="s">
        <v>750</v>
      </c>
      <c r="C28">
        <f>C26/TAN(RADIANS(C27))</f>
        <v>86.430334930973899</v>
      </c>
      <c r="D28" t="s">
        <v>40</v>
      </c>
      <c r="E28" t="s">
        <v>751</v>
      </c>
    </row>
    <row r="29" spans="1:8" x14ac:dyDescent="0.3">
      <c r="A29" t="s">
        <v>752</v>
      </c>
      <c r="B29" t="s">
        <v>753</v>
      </c>
      <c r="C29">
        <f>C24+C25+C28</f>
        <v>376.36875845181009</v>
      </c>
      <c r="D29" t="s">
        <v>40</v>
      </c>
      <c r="E29" t="s">
        <v>754</v>
      </c>
    </row>
    <row r="30" spans="1:8" x14ac:dyDescent="0.3">
      <c r="A30" t="s">
        <v>755</v>
      </c>
      <c r="B30" t="s">
        <v>756</v>
      </c>
      <c r="C30">
        <v>2000</v>
      </c>
      <c r="D30" t="s">
        <v>40</v>
      </c>
      <c r="E30" t="s">
        <v>757</v>
      </c>
      <c r="H30" t="s">
        <v>133</v>
      </c>
    </row>
    <row r="31" spans="1:8" x14ac:dyDescent="0.3">
      <c r="A31" t="s">
        <v>610</v>
      </c>
      <c r="B31" t="s">
        <v>758</v>
      </c>
      <c r="C31" t="str">
        <f>IF(C29&lt;=C30,"PASS","FAIL")</f>
        <v>PASS</v>
      </c>
      <c r="D31" t="s">
        <v>218</v>
      </c>
      <c r="E31" t="s">
        <v>759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6D9D-81BB-44C7-8655-6D0AAFB0360C}">
  <dimension ref="A1:D33"/>
  <sheetViews>
    <sheetView topLeftCell="A10" workbookViewId="0">
      <selection activeCell="C18" sqref="C18"/>
    </sheetView>
  </sheetViews>
  <sheetFormatPr defaultRowHeight="14.4" x14ac:dyDescent="0.3"/>
  <cols>
    <col min="1" max="1" width="26.88671875" customWidth="1"/>
    <col min="2" max="2" width="26.33203125" customWidth="1"/>
    <col min="3" max="3" width="17.5546875" customWidth="1"/>
    <col min="4" max="4" width="18.109375" customWidth="1"/>
  </cols>
  <sheetData>
    <row r="1" spans="1:4" x14ac:dyDescent="0.3">
      <c r="A1" t="s">
        <v>760</v>
      </c>
    </row>
    <row r="2" spans="1:4" x14ac:dyDescent="0.3">
      <c r="A2" t="s">
        <v>74</v>
      </c>
      <c r="B2" t="s">
        <v>213</v>
      </c>
      <c r="C2" t="s">
        <v>14</v>
      </c>
      <c r="D2" t="s">
        <v>15</v>
      </c>
    </row>
    <row r="3" spans="1:4" x14ac:dyDescent="0.3">
      <c r="A3" t="s">
        <v>425</v>
      </c>
      <c r="B3" t="s">
        <v>8</v>
      </c>
      <c r="C3">
        <v>1483.06</v>
      </c>
      <c r="D3" t="s">
        <v>17</v>
      </c>
    </row>
    <row r="4" spans="1:4" x14ac:dyDescent="0.3">
      <c r="A4" t="s">
        <v>427</v>
      </c>
      <c r="B4" t="s">
        <v>10</v>
      </c>
      <c r="C4">
        <v>952.24</v>
      </c>
      <c r="D4" t="s">
        <v>17</v>
      </c>
    </row>
    <row r="5" spans="1:4" x14ac:dyDescent="0.3">
      <c r="A5" t="s">
        <v>426</v>
      </c>
      <c r="B5" t="s">
        <v>9</v>
      </c>
      <c r="C5">
        <v>380.82</v>
      </c>
      <c r="D5" t="s">
        <v>17</v>
      </c>
    </row>
    <row r="6" spans="1:4" x14ac:dyDescent="0.3">
      <c r="A6" t="s">
        <v>420</v>
      </c>
      <c r="B6" t="s">
        <v>11</v>
      </c>
      <c r="C6">
        <v>150</v>
      </c>
      <c r="D6" t="s">
        <v>17</v>
      </c>
    </row>
    <row r="7" spans="1:4" x14ac:dyDescent="0.3">
      <c r="A7" t="s">
        <v>433</v>
      </c>
      <c r="B7" t="s">
        <v>0</v>
      </c>
      <c r="C7">
        <v>0.25678000000000001</v>
      </c>
      <c r="D7" t="s">
        <v>218</v>
      </c>
    </row>
    <row r="8" spans="1:4" x14ac:dyDescent="0.3">
      <c r="A8" t="s">
        <v>761</v>
      </c>
      <c r="B8" t="s">
        <v>497</v>
      </c>
      <c r="C8">
        <v>0.64207999999999998</v>
      </c>
      <c r="D8" t="s">
        <v>218</v>
      </c>
    </row>
    <row r="9" spans="1:4" x14ac:dyDescent="0.3">
      <c r="A9" t="s">
        <v>762</v>
      </c>
      <c r="B9" t="s">
        <v>217</v>
      </c>
      <c r="C9">
        <v>20</v>
      </c>
      <c r="D9" t="s">
        <v>218</v>
      </c>
    </row>
    <row r="10" spans="1:4" x14ac:dyDescent="0.3">
      <c r="A10" t="s">
        <v>536</v>
      </c>
      <c r="B10" t="s">
        <v>229</v>
      </c>
      <c r="C10">
        <v>2.5000000000000001E-2</v>
      </c>
      <c r="D10" t="s">
        <v>218</v>
      </c>
    </row>
    <row r="11" spans="1:4" x14ac:dyDescent="0.3">
      <c r="A11" t="s">
        <v>534</v>
      </c>
      <c r="B11" t="s">
        <v>224</v>
      </c>
      <c r="C11">
        <v>0.8</v>
      </c>
      <c r="D11" t="s">
        <v>218</v>
      </c>
    </row>
    <row r="12" spans="1:4" x14ac:dyDescent="0.3">
      <c r="A12" t="s">
        <v>537</v>
      </c>
      <c r="B12" t="s">
        <v>93</v>
      </c>
      <c r="C12">
        <v>1.9890000000000001E-2</v>
      </c>
      <c r="D12" t="s">
        <v>218</v>
      </c>
    </row>
    <row r="13" spans="1:4" x14ac:dyDescent="0.3">
      <c r="A13" t="s">
        <v>763</v>
      </c>
      <c r="B13" t="s">
        <v>2</v>
      </c>
      <c r="C13">
        <v>22.42</v>
      </c>
      <c r="D13" t="s">
        <v>218</v>
      </c>
    </row>
    <row r="14" spans="1:4" x14ac:dyDescent="0.3">
      <c r="A14" t="s">
        <v>365</v>
      </c>
      <c r="B14" t="s">
        <v>764</v>
      </c>
      <c r="C14">
        <v>19.420000000000002</v>
      </c>
      <c r="D14" t="s">
        <v>218</v>
      </c>
    </row>
    <row r="15" spans="1:4" x14ac:dyDescent="0.3">
      <c r="A15" t="s">
        <v>19</v>
      </c>
      <c r="B15" t="s">
        <v>765</v>
      </c>
      <c r="C15">
        <v>40</v>
      </c>
      <c r="D15" t="s">
        <v>20</v>
      </c>
    </row>
    <row r="16" spans="1:4" x14ac:dyDescent="0.3">
      <c r="A16" t="s">
        <v>22</v>
      </c>
      <c r="B16" t="s">
        <v>505</v>
      </c>
      <c r="C16">
        <v>50</v>
      </c>
      <c r="D16" t="s">
        <v>20</v>
      </c>
    </row>
    <row r="17" spans="1:4" x14ac:dyDescent="0.3">
      <c r="A17" t="s">
        <v>517</v>
      </c>
      <c r="B17" t="s">
        <v>133</v>
      </c>
      <c r="C17">
        <v>28</v>
      </c>
      <c r="D17" t="s">
        <v>781</v>
      </c>
    </row>
    <row r="18" spans="1:4" x14ac:dyDescent="0.3">
      <c r="A18" t="s">
        <v>520</v>
      </c>
      <c r="B18" t="s">
        <v>521</v>
      </c>
      <c r="C18" s="43">
        <v>23.7</v>
      </c>
      <c r="D18" t="s">
        <v>40</v>
      </c>
    </row>
    <row r="19" spans="1:4" x14ac:dyDescent="0.3">
      <c r="A19" t="s">
        <v>523</v>
      </c>
      <c r="B19" t="s">
        <v>524</v>
      </c>
      <c r="C19" s="43">
        <v>1.18</v>
      </c>
      <c r="D19" t="s">
        <v>40</v>
      </c>
    </row>
    <row r="20" spans="1:4" x14ac:dyDescent="0.3">
      <c r="A20" t="s">
        <v>526</v>
      </c>
      <c r="B20" t="s">
        <v>527</v>
      </c>
      <c r="C20">
        <v>53</v>
      </c>
      <c r="D20" t="s">
        <v>782</v>
      </c>
    </row>
    <row r="21" spans="1:4" x14ac:dyDescent="0.3">
      <c r="A21" t="s">
        <v>526</v>
      </c>
      <c r="B21" t="s">
        <v>527</v>
      </c>
      <c r="C21">
        <v>519</v>
      </c>
      <c r="D21" t="s">
        <v>783</v>
      </c>
    </row>
    <row r="22" spans="1:4" x14ac:dyDescent="0.3">
      <c r="A22" t="s">
        <v>766</v>
      </c>
      <c r="B22" t="s">
        <v>767</v>
      </c>
      <c r="C22">
        <v>190.47</v>
      </c>
      <c r="D22" t="s">
        <v>68</v>
      </c>
    </row>
    <row r="23" spans="1:4" x14ac:dyDescent="0.3">
      <c r="A23" t="s">
        <v>768</v>
      </c>
      <c r="B23" t="s">
        <v>769</v>
      </c>
      <c r="C23">
        <v>138.02000000000001</v>
      </c>
      <c r="D23" t="s">
        <v>68</v>
      </c>
    </row>
    <row r="24" spans="1:4" x14ac:dyDescent="0.3">
      <c r="A24" t="s">
        <v>770</v>
      </c>
      <c r="B24" t="s">
        <v>771</v>
      </c>
      <c r="C24">
        <v>149.49</v>
      </c>
      <c r="D24" t="s">
        <v>68</v>
      </c>
    </row>
    <row r="25" spans="1:4" x14ac:dyDescent="0.3">
      <c r="A25" t="s">
        <v>772</v>
      </c>
      <c r="B25" t="s">
        <v>773</v>
      </c>
      <c r="C25">
        <v>190.47</v>
      </c>
      <c r="D25" t="s">
        <v>68</v>
      </c>
    </row>
    <row r="26" spans="1:4" x14ac:dyDescent="0.3">
      <c r="A26" t="s">
        <v>774</v>
      </c>
      <c r="B26" t="s">
        <v>696</v>
      </c>
      <c r="C26">
        <v>219.04</v>
      </c>
      <c r="D26" t="s">
        <v>68</v>
      </c>
    </row>
    <row r="27" spans="1:4" x14ac:dyDescent="0.3">
      <c r="A27" t="s">
        <v>775</v>
      </c>
      <c r="B27" t="s">
        <v>776</v>
      </c>
      <c r="C27">
        <v>220</v>
      </c>
      <c r="D27" t="s">
        <v>68</v>
      </c>
    </row>
    <row r="28" spans="1:4" x14ac:dyDescent="0.3">
      <c r="A28" t="s">
        <v>647</v>
      </c>
      <c r="B28" t="s">
        <v>218</v>
      </c>
      <c r="C28" t="s">
        <v>644</v>
      </c>
      <c r="D28" t="s">
        <v>218</v>
      </c>
    </row>
    <row r="29" spans="1:4" x14ac:dyDescent="0.3">
      <c r="A29" t="s">
        <v>649</v>
      </c>
      <c r="B29" t="s">
        <v>218</v>
      </c>
      <c r="C29" t="s">
        <v>644</v>
      </c>
      <c r="D29" t="s">
        <v>218</v>
      </c>
    </row>
    <row r="30" spans="1:4" x14ac:dyDescent="0.3">
      <c r="A30" t="s">
        <v>777</v>
      </c>
      <c r="B30" t="s">
        <v>218</v>
      </c>
      <c r="C30" t="s">
        <v>644</v>
      </c>
      <c r="D30" t="s">
        <v>218</v>
      </c>
    </row>
    <row r="31" spans="1:4" x14ac:dyDescent="0.3">
      <c r="A31" t="s">
        <v>778</v>
      </c>
      <c r="B31" t="s">
        <v>218</v>
      </c>
      <c r="C31">
        <v>24</v>
      </c>
      <c r="D31" t="s">
        <v>30</v>
      </c>
    </row>
    <row r="32" spans="1:4" x14ac:dyDescent="0.3">
      <c r="A32" t="s">
        <v>779</v>
      </c>
      <c r="B32" t="s">
        <v>218</v>
      </c>
      <c r="C32">
        <v>2000</v>
      </c>
      <c r="D32" t="s">
        <v>33</v>
      </c>
    </row>
    <row r="33" spans="1:4" x14ac:dyDescent="0.3">
      <c r="A33" t="s">
        <v>780</v>
      </c>
      <c r="B33" t="s">
        <v>218</v>
      </c>
      <c r="C33">
        <v>4000</v>
      </c>
      <c r="D3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C99D-C73E-4CDD-86A3-F5145B9DE3BD}">
  <dimension ref="A1:M74"/>
  <sheetViews>
    <sheetView topLeftCell="A4" zoomScale="77" zoomScaleNormal="77" workbookViewId="0">
      <selection activeCell="E31" sqref="E31"/>
    </sheetView>
  </sheetViews>
  <sheetFormatPr defaultRowHeight="14.4" x14ac:dyDescent="0.3"/>
  <cols>
    <col min="1" max="1" width="11.33203125" bestFit="1" customWidth="1"/>
    <col min="2" max="2" width="12" bestFit="1" customWidth="1"/>
    <col min="3" max="4" width="12.109375" bestFit="1" customWidth="1"/>
    <col min="5" max="5" width="14.33203125" customWidth="1"/>
    <col min="8" max="8" width="24.88671875" bestFit="1" customWidth="1"/>
    <col min="13" max="13" width="15.21875" bestFit="1" customWidth="1"/>
  </cols>
  <sheetData>
    <row r="1" spans="1:13" x14ac:dyDescent="0.3">
      <c r="A1" t="s">
        <v>802</v>
      </c>
      <c r="B1" t="s">
        <v>803</v>
      </c>
      <c r="C1" t="s">
        <v>804</v>
      </c>
      <c r="D1" t="s">
        <v>805</v>
      </c>
      <c r="E1" t="s">
        <v>806</v>
      </c>
    </row>
    <row r="2" spans="1:13" x14ac:dyDescent="0.3">
      <c r="A2">
        <v>100</v>
      </c>
      <c r="B2">
        <f>(27.54/0.75)*((464.67*0.025)/A2+(0.01989/464.67)*A2)+(6.096/0.75)</f>
        <v>12.550848984660082</v>
      </c>
      <c r="C2">
        <f>(30.52/0.75) * ((264.76 * 0.025)/A2 + (0.01989/264.76)*A2) + (0.508/0.75)</f>
        <v>3.6765322731933328</v>
      </c>
      <c r="D2">
        <f>(47.7/0.8) * ((794.13 * 0.025)/A2 + (0.01989/794.13)*A2)</f>
        <v>11.986838739457804</v>
      </c>
      <c r="E2">
        <v>518.70000000000005</v>
      </c>
    </row>
    <row r="3" spans="1:13" x14ac:dyDescent="0.3">
      <c r="A3">
        <f t="shared" ref="A3:A43" si="0">A2+10</f>
        <v>110</v>
      </c>
      <c r="B3">
        <f t="shared" ref="B3:B66" si="1">(27.54/0.75)*((464.67*0.025)/A3+(0.01989/464.67)*A3)+(6.096/0.75)</f>
        <v>12.178778586762453</v>
      </c>
      <c r="C3">
        <f t="shared" ref="C3:C66" si="2">(30.52/0.75) * ((264.76 * 0.025)/A3 + (0.01989/264.76)*A3) + (0.508/0.75)</f>
        <v>3.4622401089975146</v>
      </c>
      <c r="D3">
        <f t="shared" ref="D3:D66" si="3">(47.7/0.8) * ((794.13 * 0.025)/A3 + (0.01989/794.13)*A3)</f>
        <v>10.925636190108131</v>
      </c>
      <c r="H3" t="s">
        <v>810</v>
      </c>
    </row>
    <row r="4" spans="1:13" x14ac:dyDescent="0.3">
      <c r="A4">
        <f t="shared" si="0"/>
        <v>120</v>
      </c>
      <c r="B4">
        <f t="shared" si="1"/>
        <v>11.871339561592098</v>
      </c>
      <c r="C4">
        <f t="shared" si="2"/>
        <v>3.2887584256097764</v>
      </c>
      <c r="D4">
        <f t="shared" si="3"/>
        <v>10.043789706099364</v>
      </c>
    </row>
    <row r="5" spans="1:13" x14ac:dyDescent="0.3">
      <c r="A5">
        <f t="shared" si="0"/>
        <v>130</v>
      </c>
      <c r="B5">
        <f t="shared" si="1"/>
        <v>11.613616976981184</v>
      </c>
      <c r="C5">
        <f t="shared" si="2"/>
        <v>3.1466694197667167</v>
      </c>
      <c r="D5">
        <f t="shared" si="3"/>
        <v>9.2999094261989903</v>
      </c>
      <c r="M5" s="44" t="s">
        <v>807</v>
      </c>
    </row>
    <row r="6" spans="1:13" x14ac:dyDescent="0.3">
      <c r="A6">
        <f t="shared" si="0"/>
        <v>140</v>
      </c>
      <c r="B6">
        <f t="shared" si="1"/>
        <v>11.394957309952686</v>
      </c>
      <c r="C6">
        <f t="shared" si="2"/>
        <v>3.0292460891373323</v>
      </c>
      <c r="D6">
        <f t="shared" si="3"/>
        <v>8.6644311638123543</v>
      </c>
      <c r="M6" s="44" t="s">
        <v>808</v>
      </c>
    </row>
    <row r="7" spans="1:13" x14ac:dyDescent="0.3">
      <c r="A7">
        <f t="shared" si="0"/>
        <v>150</v>
      </c>
      <c r="B7">
        <f t="shared" si="1"/>
        <v>11.207547976990123</v>
      </c>
      <c r="C7">
        <f t="shared" si="2"/>
        <v>2.9315552986788878</v>
      </c>
      <c r="D7">
        <f t="shared" si="3"/>
        <v>8.1156745154367051</v>
      </c>
      <c r="M7" s="44" t="s">
        <v>809</v>
      </c>
    </row>
    <row r="8" spans="1:13" x14ac:dyDescent="0.3">
      <c r="A8">
        <f t="shared" si="0"/>
        <v>160</v>
      </c>
      <c r="B8">
        <f t="shared" si="1"/>
        <v>11.04552954045613</v>
      </c>
      <c r="C8">
        <f t="shared" si="2"/>
        <v>2.8498971971093319</v>
      </c>
      <c r="D8">
        <f t="shared" si="3"/>
        <v>7.6373791784449852</v>
      </c>
    </row>
    <row r="9" spans="1:13" x14ac:dyDescent="0.3">
      <c r="A9">
        <f t="shared" si="0"/>
        <v>170</v>
      </c>
      <c r="B9">
        <f t="shared" si="1"/>
        <v>10.904421253922139</v>
      </c>
      <c r="C9">
        <f t="shared" si="2"/>
        <v>2.7814424863894489</v>
      </c>
      <c r="D9">
        <f t="shared" si="3"/>
        <v>7.2171108037694429</v>
      </c>
    </row>
    <row r="10" spans="1:13" x14ac:dyDescent="0.3">
      <c r="A10">
        <f t="shared" si="0"/>
        <v>180</v>
      </c>
      <c r="B10">
        <f t="shared" si="1"/>
        <v>10.780738092388148</v>
      </c>
      <c r="C10">
        <f t="shared" si="2"/>
        <v>2.7239906013776278</v>
      </c>
      <c r="D10">
        <f t="shared" si="3"/>
        <v>6.845198231024046</v>
      </c>
    </row>
    <row r="11" spans="1:13" x14ac:dyDescent="0.3">
      <c r="A11">
        <f t="shared" si="0"/>
        <v>190</v>
      </c>
      <c r="B11">
        <f t="shared" si="1"/>
        <v>10.671728720327838</v>
      </c>
      <c r="C11">
        <f t="shared" si="2"/>
        <v>2.6758042538041735</v>
      </c>
      <c r="D11">
        <f t="shared" si="3"/>
        <v>6.5140063335882479</v>
      </c>
    </row>
    <row r="12" spans="1:13" x14ac:dyDescent="0.3">
      <c r="A12">
        <f t="shared" si="0"/>
        <v>200</v>
      </c>
      <c r="B12">
        <f t="shared" si="1"/>
        <v>10.575192069320163</v>
      </c>
      <c r="C12">
        <f t="shared" si="2"/>
        <v>2.6354936130533311</v>
      </c>
      <c r="D12">
        <f t="shared" si="3"/>
        <v>6.2174270101656059</v>
      </c>
    </row>
    <row r="13" spans="1:13" x14ac:dyDescent="0.3">
      <c r="A13">
        <f t="shared" si="0"/>
        <v>210</v>
      </c>
      <c r="B13">
        <f t="shared" si="1"/>
        <v>10.489346322071885</v>
      </c>
      <c r="C13">
        <f t="shared" si="2"/>
        <v>2.601933578150442</v>
      </c>
      <c r="D13">
        <f t="shared" si="3"/>
        <v>5.9505156073256726</v>
      </c>
    </row>
    <row r="14" spans="1:13" x14ac:dyDescent="0.3">
      <c r="A14">
        <f t="shared" si="0"/>
        <v>220</v>
      </c>
      <c r="B14">
        <f t="shared" si="1"/>
        <v>10.412733628070361</v>
      </c>
      <c r="C14">
        <f t="shared" si="2"/>
        <v>2.574203611934422</v>
      </c>
      <c r="D14">
        <f t="shared" si="3"/>
        <v>5.7092264995344397</v>
      </c>
    </row>
    <row r="15" spans="1:13" x14ac:dyDescent="0.3">
      <c r="A15">
        <f t="shared" si="0"/>
        <v>230</v>
      </c>
      <c r="B15">
        <f t="shared" si="1"/>
        <v>10.344149676022536</v>
      </c>
      <c r="C15">
        <f t="shared" si="2"/>
        <v>2.5515432706635051</v>
      </c>
      <c r="D15">
        <f t="shared" si="3"/>
        <v>5.4902176483072953</v>
      </c>
    </row>
    <row r="16" spans="1:13" x14ac:dyDescent="0.3">
      <c r="A16">
        <f t="shared" si="0"/>
        <v>240</v>
      </c>
      <c r="B16">
        <f t="shared" si="1"/>
        <v>10.282590873184196</v>
      </c>
      <c r="C16">
        <f t="shared" si="2"/>
        <v>2.533318851219553</v>
      </c>
      <c r="D16">
        <f t="shared" si="3"/>
        <v>5.2907040215737275</v>
      </c>
    </row>
    <row r="17" spans="1:4" x14ac:dyDescent="0.3">
      <c r="A17">
        <f t="shared" si="0"/>
        <v>250</v>
      </c>
      <c r="B17">
        <f t="shared" si="1"/>
        <v>10.227214201650204</v>
      </c>
      <c r="C17">
        <f t="shared" si="2"/>
        <v>2.518998042983331</v>
      </c>
      <c r="D17">
        <f t="shared" si="3"/>
        <v>5.1083461923945084</v>
      </c>
    </row>
    <row r="18" spans="1:4" x14ac:dyDescent="0.3">
      <c r="A18">
        <f t="shared" si="0"/>
        <v>260</v>
      </c>
      <c r="B18">
        <f t="shared" si="1"/>
        <v>10.17730633857775</v>
      </c>
      <c r="C18">
        <f t="shared" si="2"/>
        <v>2.5081304292770232</v>
      </c>
      <c r="D18">
        <f t="shared" si="3"/>
        <v>4.9411646456672109</v>
      </c>
    </row>
    <row r="19" spans="1:4" x14ac:dyDescent="0.3">
      <c r="A19">
        <f t="shared" si="0"/>
        <v>270</v>
      </c>
      <c r="B19">
        <f t="shared" si="1"/>
        <v>10.132259638582219</v>
      </c>
      <c r="C19">
        <f t="shared" si="2"/>
        <v>2.5003323218195281</v>
      </c>
      <c r="D19">
        <f t="shared" si="3"/>
        <v>4.7874731277860691</v>
      </c>
    </row>
    <row r="20" spans="1:4" x14ac:dyDescent="0.3">
      <c r="A20">
        <f t="shared" si="0"/>
        <v>280</v>
      </c>
      <c r="B20">
        <f t="shared" si="1"/>
        <v>10.091553262762513</v>
      </c>
      <c r="C20">
        <f t="shared" si="2"/>
        <v>2.4952748449413309</v>
      </c>
      <c r="D20">
        <f t="shared" si="3"/>
        <v>4.6458262785175632</v>
      </c>
    </row>
    <row r="21" spans="1:4" x14ac:dyDescent="0.3">
      <c r="A21">
        <f t="shared" si="0"/>
        <v>290</v>
      </c>
      <c r="B21">
        <f t="shared" si="1"/>
        <v>10.05473821206596</v>
      </c>
      <c r="C21">
        <f t="shared" si="2"/>
        <v>2.4926744851342271</v>
      </c>
      <c r="D21">
        <f t="shared" si="3"/>
        <v>4.5149780976603866</v>
      </c>
    </row>
    <row r="22" spans="1:4" x14ac:dyDescent="0.3">
      <c r="A22">
        <f t="shared" si="0"/>
        <v>300</v>
      </c>
      <c r="B22">
        <f t="shared" si="1"/>
        <v>10.021425353980245</v>
      </c>
      <c r="C22">
        <f t="shared" si="2"/>
        <v>2.4922855306911083</v>
      </c>
      <c r="D22">
        <f t="shared" si="3"/>
        <v>4.3938487183734098</v>
      </c>
    </row>
    <row r="23" spans="1:4" x14ac:dyDescent="0.3">
      <c r="A23">
        <f t="shared" si="0"/>
        <v>310</v>
      </c>
      <c r="B23">
        <f t="shared" si="1"/>
        <v>9.9912757666398004</v>
      </c>
      <c r="C23">
        <f t="shared" si="2"/>
        <v>2.4938939746412658</v>
      </c>
      <c r="D23">
        <f t="shared" si="3"/>
        <v>4.2814976114724157</v>
      </c>
    </row>
    <row r="24" spans="1:4" x14ac:dyDescent="0.3">
      <c r="A24">
        <f t="shared" si="0"/>
        <v>320</v>
      </c>
      <c r="B24">
        <f t="shared" si="1"/>
        <v>9.9639928934122608</v>
      </c>
      <c r="C24">
        <f t="shared" si="2"/>
        <v>2.4973125608853302</v>
      </c>
      <c r="D24">
        <f t="shared" si="3"/>
        <v>4.1771018139212197</v>
      </c>
    </row>
    <row r="25" spans="1:4" x14ac:dyDescent="0.3">
      <c r="A25">
        <f t="shared" si="0"/>
        <v>330</v>
      </c>
      <c r="B25">
        <f t="shared" si="1"/>
        <v>9.9393161239237227</v>
      </c>
      <c r="C25">
        <f t="shared" si="2"/>
        <v>2.5023767310329461</v>
      </c>
      <c r="D25">
        <f t="shared" si="3"/>
        <v>4.0799381157789316</v>
      </c>
    </row>
    <row r="26" spans="1:4" x14ac:dyDescent="0.3">
      <c r="A26">
        <f t="shared" si="0"/>
        <v>340</v>
      </c>
      <c r="B26">
        <f t="shared" si="1"/>
        <v>9.9170155078442761</v>
      </c>
      <c r="C26">
        <f t="shared" si="2"/>
        <v>2.5089412865043887</v>
      </c>
      <c r="D26">
        <f t="shared" si="3"/>
        <v>3.9893683906271185</v>
      </c>
    </row>
    <row r="27" spans="1:4" x14ac:dyDescent="0.3">
      <c r="A27">
        <f t="shared" si="0"/>
        <v>350</v>
      </c>
      <c r="B27">
        <f t="shared" si="1"/>
        <v>9.8968873748817128</v>
      </c>
      <c r="C27">
        <f t="shared" si="2"/>
        <v>2.5168776228433298</v>
      </c>
      <c r="D27">
        <f t="shared" si="3"/>
        <v>3.9048274407808816</v>
      </c>
    </row>
    <row r="28" spans="1:4" x14ac:dyDescent="0.3">
      <c r="A28">
        <f t="shared" si="0"/>
        <v>360</v>
      </c>
      <c r="B28">
        <f t="shared" si="1"/>
        <v>9.8787506847762927</v>
      </c>
      <c r="C28">
        <f t="shared" si="2"/>
        <v>2.5260714249774781</v>
      </c>
      <c r="D28">
        <f t="shared" si="3"/>
        <v>3.8258128682980908</v>
      </c>
    </row>
    <row r="29" spans="1:4" x14ac:dyDescent="0.3">
      <c r="A29">
        <f t="shared" si="0"/>
        <v>370</v>
      </c>
      <c r="B29">
        <f t="shared" si="1"/>
        <v>9.8624439691882468</v>
      </c>
      <c r="C29">
        <f t="shared" si="2"/>
        <v>2.5364207362207352</v>
      </c>
      <c r="D29">
        <f t="shared" si="3"/>
        <v>3.7518765885276548</v>
      </c>
    </row>
    <row r="30" spans="1:4" x14ac:dyDescent="0.3">
      <c r="A30">
        <f t="shared" si="0"/>
        <v>380</v>
      </c>
      <c r="B30">
        <f t="shared" si="1"/>
        <v>9.8478227564451508</v>
      </c>
      <c r="C30">
        <f t="shared" si="2"/>
        <v>2.5478343321697512</v>
      </c>
      <c r="D30">
        <f t="shared" si="3"/>
        <v>3.682617683623862</v>
      </c>
    </row>
    <row r="31" spans="1:4" x14ac:dyDescent="0.3">
      <c r="A31">
        <f t="shared" si="0"/>
        <v>390</v>
      </c>
      <c r="B31">
        <f t="shared" si="1"/>
        <v>9.8347573924820093</v>
      </c>
      <c r="C31">
        <f t="shared" si="2"/>
        <v>2.5602303447702357</v>
      </c>
      <c r="D31">
        <f t="shared" si="3"/>
        <v>3.6176763555200471</v>
      </c>
    </row>
    <row r="32" spans="1:4" x14ac:dyDescent="0.3">
      <c r="A32">
        <f t="shared" si="0"/>
        <v>400</v>
      </c>
      <c r="B32">
        <f t="shared" si="1"/>
        <v>9.8231311886403248</v>
      </c>
      <c r="C32">
        <f t="shared" si="2"/>
        <v>2.5735350927733296</v>
      </c>
      <c r="D32">
        <f t="shared" si="3"/>
        <v>3.5567287859562122</v>
      </c>
    </row>
    <row r="33" spans="1:4" x14ac:dyDescent="0.3">
      <c r="A33">
        <f t="shared" si="0"/>
        <v>410</v>
      </c>
      <c r="B33">
        <f t="shared" si="1"/>
        <v>9.8128388405209677</v>
      </c>
      <c r="C33">
        <f t="shared" si="2"/>
        <v>2.5876820833446952</v>
      </c>
      <c r="D33">
        <f t="shared" si="3"/>
        <v>3.4994827486977238</v>
      </c>
    </row>
    <row r="34" spans="1:4" x14ac:dyDescent="0.3">
      <c r="A34">
        <f t="shared" si="0"/>
        <v>420</v>
      </c>
      <c r="B34">
        <f>(27.54/0.75)*((464.67*0.025)/A34+(0.01989/464.67)*A34)+(6.096/0.75)</f>
        <v>9.8037850727151987</v>
      </c>
      <c r="C34">
        <f t="shared" si="2"/>
        <v>2.6026111563008847</v>
      </c>
      <c r="D34">
        <f t="shared" si="3"/>
        <v>3.4456738485799154</v>
      </c>
    </row>
    <row r="35" spans="1:4" x14ac:dyDescent="0.3">
      <c r="A35">
        <f t="shared" si="0"/>
        <v>430</v>
      </c>
      <c r="B35">
        <f t="shared" si="1"/>
        <v>9.795883472643002</v>
      </c>
      <c r="C35">
        <f t="shared" si="2"/>
        <v>2.6182677477545848</v>
      </c>
      <c r="D35">
        <f t="shared" si="3"/>
        <v>3.3950622853371573</v>
      </c>
    </row>
    <row r="36" spans="1:4" x14ac:dyDescent="0.3">
      <c r="A36">
        <f t="shared" si="0"/>
        <v>440</v>
      </c>
      <c r="B36">
        <f t="shared" si="1"/>
        <v>9.7890554834134491</v>
      </c>
      <c r="C36">
        <f t="shared" si="2"/>
        <v>2.6346022541718748</v>
      </c>
      <c r="D36">
        <f t="shared" si="3"/>
        <v>3.3474300587279693</v>
      </c>
    </row>
    <row r="37" spans="1:4" x14ac:dyDescent="0.3">
      <c r="A37">
        <f t="shared" si="0"/>
        <v>450</v>
      </c>
      <c r="B37">
        <f t="shared" si="1"/>
        <v>9.7832295309703667</v>
      </c>
      <c r="C37">
        <f t="shared" si="2"/>
        <v>2.6515694812218475</v>
      </c>
      <c r="D37">
        <f t="shared" si="3"/>
        <v>3.3025785463101136</v>
      </c>
    </row>
    <row r="38" spans="1:4" x14ac:dyDescent="0.3">
      <c r="A38">
        <f t="shared" si="0"/>
        <v>460</v>
      </c>
      <c r="B38">
        <f t="shared" si="1"/>
        <v>9.7783402650885485</v>
      </c>
      <c r="C38">
        <f t="shared" si="2"/>
        <v>2.6691281645154161</v>
      </c>
      <c r="D38">
        <f t="shared" si="3"/>
        <v>3.2603263971580674</v>
      </c>
    </row>
    <row r="39" spans="1:4" x14ac:dyDescent="0.3">
      <c r="A39">
        <f t="shared" si="0"/>
        <v>470</v>
      </c>
      <c r="B39">
        <f t="shared" si="1"/>
        <v>9.7743278972640848</v>
      </c>
      <c r="C39">
        <f t="shared" si="2"/>
        <v>2.6872405515263926</v>
      </c>
      <c r="D39">
        <f t="shared" si="3"/>
        <v>3.2205076944676314</v>
      </c>
    </row>
    <row r="40" spans="1:4" x14ac:dyDescent="0.3">
      <c r="A40">
        <f t="shared" si="0"/>
        <v>480</v>
      </c>
      <c r="B40">
        <f t="shared" si="1"/>
        <v>9.7711376213683909</v>
      </c>
      <c r="C40">
        <f t="shared" si="2"/>
        <v>2.70587203577244</v>
      </c>
      <c r="D40">
        <f t="shared" si="3"/>
        <v>3.1829703478349543</v>
      </c>
    </row>
    <row r="41" spans="1:4" x14ac:dyDescent="0.3">
      <c r="A41">
        <f t="shared" si="0"/>
        <v>490</v>
      </c>
      <c r="B41">
        <f t="shared" si="1"/>
        <v>9.7687191052425622</v>
      </c>
      <c r="C41">
        <f t="shared" si="2"/>
        <v>2.724990835790186</v>
      </c>
      <c r="D41">
        <f t="shared" si="3"/>
        <v>3.1475746823993571</v>
      </c>
    </row>
    <row r="42" spans="1:4" x14ac:dyDescent="0.3">
      <c r="A42">
        <f t="shared" si="0"/>
        <v>500</v>
      </c>
      <c r="B42">
        <f t="shared" si="1"/>
        <v>9.7670260433004064</v>
      </c>
      <c r="C42">
        <f t="shared" si="2"/>
        <v>2.7445677126333283</v>
      </c>
      <c r="D42">
        <f t="shared" si="3"/>
        <v>3.1141921972890145</v>
      </c>
    </row>
    <row r="43" spans="1:4" x14ac:dyDescent="0.3">
      <c r="A43">
        <f t="shared" si="0"/>
        <v>510</v>
      </c>
      <c r="B43">
        <f t="shared" si="1"/>
        <v>9.7660157617664147</v>
      </c>
      <c r="C43">
        <f t="shared" si="2"/>
        <v>2.7645757206062562</v>
      </c>
      <c r="D43">
        <f t="shared" si="3"/>
        <v>3.082704470131854</v>
      </c>
    </row>
    <row r="44" spans="1:4" x14ac:dyDescent="0.3">
      <c r="A44">
        <f t="shared" ref="A44:A74" si="4">A43+10</f>
        <v>520</v>
      </c>
      <c r="B44">
        <f t="shared" si="1"/>
        <v>9.7656488694631918</v>
      </c>
      <c r="C44">
        <f t="shared" si="2"/>
        <v>2.7849899867591743</v>
      </c>
      <c r="D44">
        <f t="shared" si="3"/>
        <v>3.0530021879690366</v>
      </c>
    </row>
    <row r="45" spans="1:4" x14ac:dyDescent="0.3">
      <c r="A45">
        <f t="shared" si="4"/>
        <v>530</v>
      </c>
      <c r="B45">
        <f t="shared" si="1"/>
        <v>9.7658889481323943</v>
      </c>
      <c r="C45">
        <f t="shared" si="2"/>
        <v>2.8057875153460454</v>
      </c>
      <c r="D45">
        <f t="shared" si="3"/>
        <v>3.024984287876356</v>
      </c>
    </row>
    <row r="46" spans="1:4" x14ac:dyDescent="0.3">
      <c r="A46">
        <f t="shared" si="4"/>
        <v>540</v>
      </c>
      <c r="B46">
        <f t="shared" si="1"/>
        <v>9.7667022771644394</v>
      </c>
      <c r="C46">
        <f t="shared" si="2"/>
        <v>2.8269470140094266</v>
      </c>
      <c r="D46">
        <f t="shared" si="3"/>
        <v>2.998557193072136</v>
      </c>
    </row>
    <row r="47" spans="1:4" x14ac:dyDescent="0.3">
      <c r="A47">
        <f t="shared" si="4"/>
        <v>550</v>
      </c>
      <c r="B47">
        <f t="shared" si="1"/>
        <v>9.7680575883577205</v>
      </c>
      <c r="C47">
        <f t="shared" si="2"/>
        <v>2.8484487389269639</v>
      </c>
      <c r="D47">
        <f t="shared" si="3"/>
        <v>2.9736341323588253</v>
      </c>
    </row>
    <row r="48" spans="1:4" x14ac:dyDescent="0.3">
      <c r="A48">
        <f t="shared" si="4"/>
        <v>560</v>
      </c>
      <c r="B48">
        <f t="shared" si="1"/>
        <v>9.7699258469535977</v>
      </c>
      <c r="C48">
        <f t="shared" si="2"/>
        <v>2.8702743565493281</v>
      </c>
      <c r="D48">
        <f t="shared" si="3"/>
        <v>2.9501345324815538</v>
      </c>
    </row>
    <row r="49" spans="1:4" x14ac:dyDescent="0.3">
      <c r="A49">
        <f t="shared" si="4"/>
        <v>570</v>
      </c>
      <c r="B49">
        <f t="shared" si="1"/>
        <v>9.7722800557203584</v>
      </c>
      <c r="C49">
        <f t="shared" si="2"/>
        <v>2.8924068198920532</v>
      </c>
      <c r="D49">
        <f t="shared" si="3"/>
        <v>2.9279834744489501</v>
      </c>
    </row>
    <row r="50" spans="1:4" x14ac:dyDescent="0.3">
      <c r="A50">
        <f t="shared" si="4"/>
        <v>580</v>
      </c>
      <c r="B50">
        <f t="shared" si="1"/>
        <v>9.7750950793043341</v>
      </c>
      <c r="C50">
        <f t="shared" si="2"/>
        <v>2.914830257624776</v>
      </c>
      <c r="D50">
        <f t="shared" si="3"/>
        <v>2.9071112060966362</v>
      </c>
    </row>
    <row r="51" spans="1:4" x14ac:dyDescent="0.3">
      <c r="A51">
        <f t="shared" si="4"/>
        <v>590</v>
      </c>
      <c r="B51">
        <f t="shared" si="1"/>
        <v>9.7783474864436322</v>
      </c>
      <c r="C51">
        <f t="shared" si="2"/>
        <v>2.9375298744395311</v>
      </c>
      <c r="D51">
        <f t="shared" si="3"/>
        <v>2.8874527042205287</v>
      </c>
    </row>
    <row r="52" spans="1:4" x14ac:dyDescent="0.3">
      <c r="A52">
        <f t="shared" si="4"/>
        <v>600</v>
      </c>
      <c r="B52">
        <f t="shared" si="1"/>
        <v>9.782015407960488</v>
      </c>
      <c r="C52">
        <f t="shared" si="2"/>
        <v>2.9604918613822164</v>
      </c>
      <c r="D52">
        <f t="shared" si="3"/>
        <v>2.8689472804968177</v>
      </c>
    </row>
    <row r="53" spans="1:4" x14ac:dyDescent="0.3">
      <c r="A53">
        <f t="shared" si="4"/>
        <v>610</v>
      </c>
      <c r="B53">
        <f t="shared" si="1"/>
        <v>9.7860784087215791</v>
      </c>
      <c r="C53">
        <f t="shared" si="2"/>
        <v>2.9837033150039174</v>
      </c>
      <c r="D53">
        <f t="shared" si="3"/>
        <v>2.8515382261639091</v>
      </c>
    </row>
    <row r="54" spans="1:4" x14ac:dyDescent="0.3">
      <c r="A54">
        <f t="shared" si="4"/>
        <v>620</v>
      </c>
      <c r="B54">
        <f>(27.54/0.75)*((464.67*0.025)/A54+(0.01989/464.67)*A54)+(6.096/0.75)</f>
        <v>9.790517371989278</v>
      </c>
      <c r="C54">
        <f t="shared" si="2"/>
        <v>3.0071521643362953</v>
      </c>
      <c r="D54">
        <f t="shared" si="3"/>
        <v>2.8351724910899909</v>
      </c>
    </row>
    <row r="55" spans="1:4" x14ac:dyDescent="0.3">
      <c r="A55">
        <f t="shared" si="4"/>
        <v>630</v>
      </c>
      <c r="B55">
        <f t="shared" si="1"/>
        <v>9.7953143947870842</v>
      </c>
      <c r="C55">
        <f t="shared" si="2"/>
        <v>3.0308271048216975</v>
      </c>
      <c r="D55">
        <f t="shared" si="3"/>
        <v>2.8198003934055871</v>
      </c>
    </row>
    <row r="56" spans="1:4" x14ac:dyDescent="0.3">
      <c r="A56">
        <f t="shared" si="4"/>
        <v>640</v>
      </c>
      <c r="B56">
        <f t="shared" si="1"/>
        <v>9.8004526930745204</v>
      </c>
      <c r="C56">
        <f t="shared" si="2"/>
        <v>3.0547175384373273</v>
      </c>
      <c r="D56">
        <f t="shared" si="3"/>
        <v>2.8053753563580637</v>
      </c>
    </row>
    <row r="57" spans="1:4" x14ac:dyDescent="0.3">
      <c r="A57">
        <f t="shared" si="4"/>
        <v>650</v>
      </c>
      <c r="B57">
        <f t="shared" si="1"/>
        <v>9.8059165156751433</v>
      </c>
      <c r="C57">
        <f t="shared" si="2"/>
        <v>3.0788135193464039</v>
      </c>
      <c r="D57">
        <f t="shared" si="3"/>
        <v>2.7918536694564882</v>
      </c>
    </row>
    <row r="58" spans="1:4" x14ac:dyDescent="0.3">
      <c r="A58">
        <f t="shared" si="4"/>
        <v>660</v>
      </c>
      <c r="B58">
        <f t="shared" si="1"/>
        <v>9.8116910660292636</v>
      </c>
      <c r="C58">
        <f t="shared" si="2"/>
        <v>3.1031057044901349</v>
      </c>
      <c r="D58">
        <f t="shared" si="3"/>
        <v>2.7791942713305904</v>
      </c>
    </row>
    <row r="59" spans="1:4" x14ac:dyDescent="0.3">
      <c r="A59">
        <f t="shared" si="4"/>
        <v>670</v>
      </c>
      <c r="B59">
        <f t="shared" si="1"/>
        <v>9.8177624309538878</v>
      </c>
      <c r="C59">
        <f t="shared" si="2"/>
        <v>3.127585308604282</v>
      </c>
      <c r="D59">
        <f t="shared" si="3"/>
        <v>2.7673585520351902</v>
      </c>
    </row>
    <row r="60" spans="1:4" x14ac:dyDescent="0.3">
      <c r="A60">
        <f t="shared" si="4"/>
        <v>680</v>
      </c>
      <c r="B60">
        <f t="shared" si="1"/>
        <v>9.8241175156885525</v>
      </c>
      <c r="C60">
        <f t="shared" si="2"/>
        <v>3.1522440632048565</v>
      </c>
      <c r="D60">
        <f t="shared" si="3"/>
        <v>2.7563101727983543</v>
      </c>
    </row>
    <row r="61" spans="1:4" x14ac:dyDescent="0.3">
      <c r="A61">
        <f>A60+10</f>
        <v>690</v>
      </c>
      <c r="B61">
        <f t="shared" si="1"/>
        <v>9.8307439845893434</v>
      </c>
      <c r="C61">
        <f t="shared" si="2"/>
        <v>3.1770741791402735</v>
      </c>
      <c r="D61">
        <f t="shared" si="3"/>
        <v>2.7460149014436226</v>
      </c>
    </row>
    <row r="62" spans="1:4" x14ac:dyDescent="0.3">
      <c r="A62">
        <f t="shared" si="4"/>
        <v>700</v>
      </c>
      <c r="B62">
        <f t="shared" si="1"/>
        <v>9.8376302069062831</v>
      </c>
      <c r="C62">
        <f t="shared" si="2"/>
        <v>3.2020683123533265</v>
      </c>
      <c r="D62">
        <f t="shared" si="3"/>
        <v>2.7364404619189062</v>
      </c>
    </row>
    <row r="63" spans="1:4" x14ac:dyDescent="0.3">
      <c r="A63">
        <f t="shared" si="4"/>
        <v>710</v>
      </c>
      <c r="B63">
        <f t="shared" si="1"/>
        <v>9.844765207142915</v>
      </c>
      <c r="C63">
        <f t="shared" si="2"/>
        <v>3.2272195325365094</v>
      </c>
      <c r="D63">
        <f t="shared" si="3"/>
        <v>2.7275563965412459</v>
      </c>
    </row>
    <row r="64" spans="1:4" x14ac:dyDescent="0.3">
      <c r="A64">
        <f t="shared" si="4"/>
        <v>720</v>
      </c>
      <c r="B64">
        <f t="shared" si="1"/>
        <v>9.8521386195525853</v>
      </c>
      <c r="C64">
        <f t="shared" si="2"/>
        <v>3.2525212943994006</v>
      </c>
      <c r="D64">
        <f t="shared" si="3"/>
        <v>2.7193339397211811</v>
      </c>
    </row>
    <row r="65" spans="1:4" x14ac:dyDescent="0.3">
      <c r="A65">
        <f t="shared" si="4"/>
        <v>730</v>
      </c>
      <c r="B65">
        <f t="shared" si="1"/>
        <v>9.8597406463747586</v>
      </c>
      <c r="C65">
        <f t="shared" si="2"/>
        <v>3.2779674112976274</v>
      </c>
      <c r="D65">
        <f t="shared" si="3"/>
        <v>2.711745902065934</v>
      </c>
    </row>
    <row r="66" spans="1:4" x14ac:dyDescent="0.3">
      <c r="A66">
        <f t="shared" si="4"/>
        <v>740</v>
      </c>
      <c r="B66">
        <f t="shared" si="1"/>
        <v>9.8675620194575746</v>
      </c>
      <c r="C66">
        <f t="shared" si="2"/>
        <v>3.3035520310000286</v>
      </c>
      <c r="D66">
        <f t="shared" si="3"/>
        <v>2.7047665638796334</v>
      </c>
    </row>
    <row r="67" spans="1:4" x14ac:dyDescent="0.3">
      <c r="A67">
        <f t="shared" si="4"/>
        <v>750</v>
      </c>
      <c r="B67">
        <f t="shared" ref="B67:B72" si="5">(27.54/0.75)*((464.67*0.025)/A67+(0.01989/464.67)*A67)+(6.096/0.75)</f>
        <v>9.8755939649506104</v>
      </c>
      <c r="C67">
        <f t="shared" ref="C67:C74" si="6">(30.52/0.75) * ((264.76 * 0.025)/A67 + (0.01989/264.76)*A67) + (0.508/0.75)</f>
        <v>3.3292696133944371</v>
      </c>
      <c r="D67">
        <f t="shared" ref="D67:D74" si="7">(47.7/0.8) * ((794.13 * 0.025)/A67 + (0.01989/794.13)*A67)</f>
        <v>2.6983715771835222</v>
      </c>
    </row>
    <row r="68" spans="1:4" x14ac:dyDescent="0.3">
      <c r="A68">
        <f t="shared" si="4"/>
        <v>760</v>
      </c>
      <c r="B68">
        <f t="shared" si="5"/>
        <v>9.8838281707850388</v>
      </c>
      <c r="C68">
        <f t="shared" si="6"/>
        <v>3.3551149099535365</v>
      </c>
      <c r="D68">
        <f t="shared" si="7"/>
        <v>2.6925378754714075</v>
      </c>
    </row>
    <row r="69" spans="1:4" x14ac:dyDescent="0.3">
      <c r="A69">
        <f t="shared" si="4"/>
        <v>770</v>
      </c>
      <c r="B69">
        <f t="shared" si="5"/>
        <v>9.8922567566878215</v>
      </c>
      <c r="C69">
        <f t="shared" si="6"/>
        <v>3.3810829448007804</v>
      </c>
      <c r="D69">
        <f t="shared" si="7"/>
        <v>2.6872435904971601</v>
      </c>
    </row>
    <row r="70" spans="1:4" x14ac:dyDescent="0.3">
      <c r="A70">
        <f t="shared" si="4"/>
        <v>780</v>
      </c>
      <c r="B70">
        <f t="shared" si="5"/>
        <v>9.9008722465024803</v>
      </c>
      <c r="C70">
        <f t="shared" si="6"/>
        <v>3.4071689972327786</v>
      </c>
      <c r="D70">
        <f t="shared" si="7"/>
        <v>2.6824679754631706</v>
      </c>
    </row>
    <row r="71" spans="1:4" x14ac:dyDescent="0.3">
      <c r="A71">
        <f t="shared" si="4"/>
        <v>790</v>
      </c>
      <c r="B71">
        <f t="shared" si="5"/>
        <v>9.9096675426121106</v>
      </c>
      <c r="C71">
        <f t="shared" si="6"/>
        <v>3.4333685855690979</v>
      </c>
      <c r="D71">
        <f t="shared" si="7"/>
        <v>2.6781913340425922</v>
      </c>
    </row>
    <row r="72" spans="1:4" x14ac:dyDescent="0.3">
      <c r="A72">
        <f t="shared" si="4"/>
        <v>800</v>
      </c>
      <c r="B72">
        <f t="shared" si="5"/>
        <v>9.9186359022806521</v>
      </c>
      <c r="C72">
        <f t="shared" si="6"/>
        <v>3.4596774522133256</v>
      </c>
      <c r="D72">
        <f t="shared" si="7"/>
        <v>2.6743949547249231</v>
      </c>
    </row>
    <row r="73" spans="1:4" x14ac:dyDescent="0.3">
      <c r="A73">
        <f t="shared" si="4"/>
        <v>810</v>
      </c>
      <c r="B73">
        <f>(27.54/0.75)*((464.67*0.025)/A73+(0.01989/464.67)*A73)+(6.096/0.75)</f>
        <v>9.9277709157466596</v>
      </c>
      <c r="C73">
        <f t="shared" si="6"/>
        <v>3.4860915498207246</v>
      </c>
      <c r="D73">
        <f t="shared" si="7"/>
        <v>2.6710610500248704</v>
      </c>
    </row>
    <row r="74" spans="1:4" x14ac:dyDescent="0.3">
      <c r="A74">
        <f t="shared" si="4"/>
        <v>820</v>
      </c>
      <c r="B74">
        <f t="shared" ref="B74" si="8">(27.54/0.75)*((464.67*0.025)/A74+(0.01989/464.67)*A74)+(6.096/0.75)</f>
        <v>9.9370664859199849</v>
      </c>
      <c r="C74">
        <f t="shared" si="6"/>
        <v>3.5126070284780084</v>
      </c>
      <c r="D74">
        <f t="shared" si="7"/>
        <v>2.6681727001393494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DCF6-07FC-4617-BC7A-3EC570284AA9}">
  <dimension ref="A1:E74"/>
  <sheetViews>
    <sheetView workbookViewId="0">
      <selection sqref="A1:B74"/>
    </sheetView>
  </sheetViews>
  <sheetFormatPr defaultRowHeight="14.4" x14ac:dyDescent="0.3"/>
  <cols>
    <col min="1" max="1" width="12.44140625" customWidth="1"/>
    <col min="2" max="2" width="11.44140625" customWidth="1"/>
    <col min="3" max="3" width="16.21875" customWidth="1"/>
    <col min="4" max="4" width="13.44140625" customWidth="1"/>
  </cols>
  <sheetData>
    <row r="1" spans="1:5" x14ac:dyDescent="0.3">
      <c r="A1" t="s">
        <v>802</v>
      </c>
      <c r="B1" t="s">
        <v>803</v>
      </c>
      <c r="C1" t="s">
        <v>112</v>
      </c>
      <c r="D1" t="s">
        <v>805</v>
      </c>
      <c r="E1" t="s">
        <v>811</v>
      </c>
    </row>
    <row r="2" spans="1:5" x14ac:dyDescent="0.3">
      <c r="A2">
        <v>100</v>
      </c>
      <c r="B2">
        <f>(27.54/0.75)*((464.67*0.025)/A2+(0.01989/464.67)*A2)+(6.096/0.75)</f>
        <v>12.550848984660082</v>
      </c>
      <c r="C2">
        <f>( (30.52/0.75) * ((264.76 * 0.025)/A2 + (0.01989/264.76)*A2) + (0.508/0.75) ) / 0.393248</f>
        <v>9.3491442377159775</v>
      </c>
      <c r="D2">
        <f>( (47.7/0.8) * ((794.13 * 0.025)/A2 + (0.01989/794.13)*A2) ) / 0.512991</f>
        <v>23.366567326634978</v>
      </c>
      <c r="E2">
        <v>518.70000000000005</v>
      </c>
    </row>
    <row r="3" spans="1:5" x14ac:dyDescent="0.3">
      <c r="A3">
        <f t="shared" ref="A3:A66" si="0">A2+10</f>
        <v>110</v>
      </c>
      <c r="B3">
        <f t="shared" ref="B3:B66" si="1">(27.54/0.75)*((464.67*0.025)/A3+(0.01989/464.67)*A3)+(6.096/0.75)</f>
        <v>12.178778586762453</v>
      </c>
      <c r="C3">
        <f t="shared" ref="C3:C66" si="2">( (30.52/0.75) * ((264.76 * 0.025)/A3 + (0.01989/264.76)*A3) + (0.508/0.75) ) / 0.393248</f>
        <v>8.8042154289341958</v>
      </c>
      <c r="D3">
        <f t="shared" ref="D3:D66" si="3">( (47.7/0.8) * ((794.13 * 0.025)/A3 + (0.01989/794.13)*A3) ) / 0.512991</f>
        <v>21.297910080504593</v>
      </c>
      <c r="E3">
        <v>518.70000000000005</v>
      </c>
    </row>
    <row r="4" spans="1:5" x14ac:dyDescent="0.3">
      <c r="A4">
        <f t="shared" si="0"/>
        <v>120</v>
      </c>
      <c r="B4">
        <f t="shared" si="1"/>
        <v>11.871339561592098</v>
      </c>
      <c r="C4">
        <f t="shared" si="2"/>
        <v>8.3630645943775335</v>
      </c>
      <c r="D4">
        <f t="shared" si="3"/>
        <v>19.578880927929269</v>
      </c>
      <c r="E4">
        <v>518.70000000000005</v>
      </c>
    </row>
    <row r="5" spans="1:5" x14ac:dyDescent="0.3">
      <c r="A5">
        <f t="shared" si="0"/>
        <v>130</v>
      </c>
      <c r="B5">
        <f t="shared" si="1"/>
        <v>11.613616976981184</v>
      </c>
      <c r="C5">
        <f t="shared" si="2"/>
        <v>8.0017429707632761</v>
      </c>
      <c r="D5">
        <f t="shared" si="3"/>
        <v>18.128796462704006</v>
      </c>
      <c r="E5">
        <v>518.70000000000005</v>
      </c>
    </row>
    <row r="6" spans="1:5" x14ac:dyDescent="0.3">
      <c r="A6">
        <f t="shared" si="0"/>
        <v>140</v>
      </c>
      <c r="B6">
        <f t="shared" si="1"/>
        <v>11.394957309952686</v>
      </c>
      <c r="C6">
        <f t="shared" si="2"/>
        <v>7.7031442986037622</v>
      </c>
      <c r="D6">
        <f t="shared" si="3"/>
        <v>16.890025680396644</v>
      </c>
      <c r="E6">
        <v>518.70000000000005</v>
      </c>
    </row>
    <row r="7" spans="1:5" x14ac:dyDescent="0.3">
      <c r="A7">
        <f t="shared" si="0"/>
        <v>150</v>
      </c>
      <c r="B7">
        <f t="shared" si="1"/>
        <v>11.207547976990123</v>
      </c>
      <c r="C7">
        <f t="shared" si="2"/>
        <v>7.4547239876080438</v>
      </c>
      <c r="D7">
        <f t="shared" si="3"/>
        <v>15.820305844423597</v>
      </c>
      <c r="E7">
        <v>518.70000000000005</v>
      </c>
    </row>
    <row r="8" spans="1:5" x14ac:dyDescent="0.3">
      <c r="A8">
        <f t="shared" si="0"/>
        <v>160</v>
      </c>
      <c r="B8">
        <f t="shared" si="1"/>
        <v>11.04552954045613</v>
      </c>
      <c r="C8">
        <f t="shared" si="2"/>
        <v>7.2470735950579073</v>
      </c>
      <c r="D8">
        <f t="shared" si="3"/>
        <v>14.887939902347187</v>
      </c>
      <c r="E8">
        <v>518.70000000000005</v>
      </c>
    </row>
    <row r="9" spans="1:5" x14ac:dyDescent="0.3">
      <c r="A9">
        <f t="shared" si="0"/>
        <v>170</v>
      </c>
      <c r="B9">
        <f t="shared" si="1"/>
        <v>10.904421253922139</v>
      </c>
      <c r="C9">
        <f t="shared" si="2"/>
        <v>7.0729984294629569</v>
      </c>
      <c r="D9">
        <f t="shared" si="3"/>
        <v>14.068688931715066</v>
      </c>
      <c r="E9">
        <v>518.70000000000005</v>
      </c>
    </row>
    <row r="10" spans="1:5" x14ac:dyDescent="0.3">
      <c r="A10">
        <f t="shared" si="0"/>
        <v>180</v>
      </c>
      <c r="B10">
        <f t="shared" si="1"/>
        <v>10.780738092388148</v>
      </c>
      <c r="C10">
        <f t="shared" si="2"/>
        <v>6.9269026196639985</v>
      </c>
      <c r="D10">
        <f t="shared" si="3"/>
        <v>13.343700437286515</v>
      </c>
      <c r="E10">
        <v>518.70000000000005</v>
      </c>
    </row>
    <row r="11" spans="1:5" x14ac:dyDescent="0.3">
      <c r="A11">
        <f t="shared" si="0"/>
        <v>190</v>
      </c>
      <c r="B11">
        <f t="shared" si="1"/>
        <v>10.671728720327838</v>
      </c>
      <c r="C11">
        <f t="shared" si="2"/>
        <v>6.8043683726406075</v>
      </c>
      <c r="D11">
        <f t="shared" si="3"/>
        <v>12.69809087018729</v>
      </c>
      <c r="E11">
        <v>518.70000000000005</v>
      </c>
    </row>
    <row r="12" spans="1:5" x14ac:dyDescent="0.3">
      <c r="A12">
        <f t="shared" si="0"/>
        <v>200</v>
      </c>
      <c r="B12">
        <f t="shared" si="1"/>
        <v>10.575192069320163</v>
      </c>
      <c r="C12">
        <f t="shared" si="2"/>
        <v>6.7018614539764503</v>
      </c>
      <c r="D12">
        <f t="shared" si="3"/>
        <v>12.119953391317988</v>
      </c>
      <c r="E12">
        <v>518.70000000000005</v>
      </c>
    </row>
    <row r="13" spans="1:5" x14ac:dyDescent="0.3">
      <c r="A13">
        <f t="shared" si="0"/>
        <v>210</v>
      </c>
      <c r="B13">
        <f t="shared" si="1"/>
        <v>10.489346322071885</v>
      </c>
      <c r="C13">
        <f t="shared" si="2"/>
        <v>6.6165208167630656</v>
      </c>
      <c r="D13">
        <f t="shared" si="3"/>
        <v>11.599649130931484</v>
      </c>
      <c r="E13">
        <v>518.70000000000005</v>
      </c>
    </row>
    <row r="14" spans="1:5" x14ac:dyDescent="0.3">
      <c r="A14">
        <f t="shared" si="0"/>
        <v>220</v>
      </c>
      <c r="B14">
        <f t="shared" si="1"/>
        <v>10.412733628070361</v>
      </c>
      <c r="C14">
        <f t="shared" si="2"/>
        <v>6.5460056044389852</v>
      </c>
      <c r="D14">
        <f t="shared" si="3"/>
        <v>11.129291741052844</v>
      </c>
      <c r="E14">
        <v>518.70000000000005</v>
      </c>
    </row>
    <row r="15" spans="1:5" x14ac:dyDescent="0.3">
      <c r="A15">
        <f t="shared" si="0"/>
        <v>230</v>
      </c>
      <c r="B15">
        <f t="shared" si="1"/>
        <v>10.344149676022536</v>
      </c>
      <c r="C15">
        <f t="shared" si="2"/>
        <v>6.48838206593169</v>
      </c>
      <c r="D15">
        <f t="shared" si="3"/>
        <v>10.702366412485395</v>
      </c>
      <c r="E15">
        <v>518.70000000000005</v>
      </c>
    </row>
    <row r="16" spans="1:5" x14ac:dyDescent="0.3">
      <c r="A16">
        <f t="shared" si="0"/>
        <v>240</v>
      </c>
      <c r="B16">
        <f t="shared" si="1"/>
        <v>10.282590873184196</v>
      </c>
      <c r="C16">
        <f t="shared" si="2"/>
        <v>6.4420387420140806</v>
      </c>
      <c r="D16">
        <f t="shared" si="3"/>
        <v>10.313444137565236</v>
      </c>
      <c r="E16">
        <v>518.70000000000005</v>
      </c>
    </row>
    <row r="17" spans="1:5" x14ac:dyDescent="0.3">
      <c r="A17">
        <f t="shared" si="0"/>
        <v>250</v>
      </c>
      <c r="B17">
        <f t="shared" si="1"/>
        <v>10.227214201650204</v>
      </c>
      <c r="C17">
        <f t="shared" si="2"/>
        <v>6.4056220069353973</v>
      </c>
      <c r="D17">
        <f t="shared" si="3"/>
        <v>9.957964549854692</v>
      </c>
      <c r="E17">
        <v>518.70000000000005</v>
      </c>
    </row>
    <row r="18" spans="1:5" x14ac:dyDescent="0.3">
      <c r="A18">
        <f t="shared" si="0"/>
        <v>260</v>
      </c>
      <c r="B18">
        <f t="shared" si="1"/>
        <v>10.17730633857775</v>
      </c>
      <c r="C18">
        <f t="shared" si="2"/>
        <v>6.3779864850603776</v>
      </c>
      <c r="D18">
        <f t="shared" si="3"/>
        <v>9.6320688777526531</v>
      </c>
      <c r="E18">
        <v>518.70000000000005</v>
      </c>
    </row>
    <row r="19" spans="1:5" x14ac:dyDescent="0.3">
      <c r="A19">
        <f t="shared" si="0"/>
        <v>270</v>
      </c>
      <c r="B19">
        <f t="shared" si="1"/>
        <v>10.132259638582219</v>
      </c>
      <c r="C19">
        <f t="shared" si="2"/>
        <v>6.3581564860330584</v>
      </c>
      <c r="D19">
        <f t="shared" si="3"/>
        <v>9.3324700195248447</v>
      </c>
      <c r="E19">
        <v>518.70000000000005</v>
      </c>
    </row>
    <row r="20" spans="1:5" x14ac:dyDescent="0.3">
      <c r="A20">
        <f t="shared" si="0"/>
        <v>280</v>
      </c>
      <c r="B20">
        <f t="shared" si="1"/>
        <v>10.091553262762513</v>
      </c>
      <c r="C20">
        <f t="shared" si="2"/>
        <v>6.3452957038340463</v>
      </c>
      <c r="D20">
        <f t="shared" si="3"/>
        <v>9.0563504593990221</v>
      </c>
      <c r="E20">
        <v>518.70000000000005</v>
      </c>
    </row>
    <row r="21" spans="1:5" x14ac:dyDescent="0.3">
      <c r="A21">
        <f t="shared" si="0"/>
        <v>290</v>
      </c>
      <c r="B21">
        <f t="shared" si="1"/>
        <v>10.05473821206596</v>
      </c>
      <c r="C21">
        <f t="shared" si="2"/>
        <v>6.3386831849983398</v>
      </c>
      <c r="D21">
        <f t="shared" si="3"/>
        <v>8.801281304468084</v>
      </c>
      <c r="E21">
        <v>518.70000000000005</v>
      </c>
    </row>
    <row r="22" spans="1:5" x14ac:dyDescent="0.3">
      <c r="A22">
        <f t="shared" si="0"/>
        <v>300</v>
      </c>
      <c r="B22">
        <f t="shared" si="1"/>
        <v>10.021425353980245</v>
      </c>
      <c r="C22">
        <f t="shared" si="2"/>
        <v>6.3376941031896115</v>
      </c>
      <c r="D22">
        <f t="shared" si="3"/>
        <v>8.5651575142125491</v>
      </c>
      <c r="E22">
        <v>518.70000000000005</v>
      </c>
    </row>
    <row r="23" spans="1:5" x14ac:dyDescent="0.3">
      <c r="A23">
        <f t="shared" si="0"/>
        <v>310</v>
      </c>
      <c r="B23">
        <f t="shared" si="1"/>
        <v>9.9912757666398004</v>
      </c>
      <c r="C23">
        <f t="shared" si="2"/>
        <v>6.3417842548246037</v>
      </c>
      <c r="D23">
        <f t="shared" si="3"/>
        <v>8.3461456662444675</v>
      </c>
      <c r="E23">
        <v>518.70000000000005</v>
      </c>
    </row>
    <row r="24" spans="1:5" x14ac:dyDescent="0.3">
      <c r="A24">
        <f t="shared" si="0"/>
        <v>320</v>
      </c>
      <c r="B24">
        <f t="shared" si="1"/>
        <v>9.9639928934122608</v>
      </c>
      <c r="C24">
        <f t="shared" si="2"/>
        <v>6.3504774617679693</v>
      </c>
      <c r="D24">
        <f t="shared" si="3"/>
        <v>8.1426415159743932</v>
      </c>
      <c r="E24">
        <v>518.70000000000005</v>
      </c>
    </row>
    <row r="25" spans="1:5" x14ac:dyDescent="0.3">
      <c r="A25">
        <f t="shared" si="0"/>
        <v>330</v>
      </c>
      <c r="B25">
        <f t="shared" si="1"/>
        <v>9.9393161239237227</v>
      </c>
      <c r="C25">
        <f t="shared" si="2"/>
        <v>6.3633552644462172</v>
      </c>
      <c r="D25">
        <f t="shared" si="3"/>
        <v>7.9532352727025071</v>
      </c>
      <c r="E25">
        <v>518.70000000000005</v>
      </c>
    </row>
    <row r="26" spans="1:5" x14ac:dyDescent="0.3">
      <c r="A26">
        <f t="shared" si="0"/>
        <v>340</v>
      </c>
      <c r="B26">
        <f t="shared" si="1"/>
        <v>9.9170155078442761</v>
      </c>
      <c r="C26">
        <f t="shared" si="2"/>
        <v>6.3800484338239203</v>
      </c>
      <c r="D26">
        <f t="shared" si="3"/>
        <v>7.7766830034583814</v>
      </c>
      <c r="E26">
        <v>518.70000000000005</v>
      </c>
    </row>
    <row r="27" spans="1:5" x14ac:dyDescent="0.3">
      <c r="A27">
        <f t="shared" si="0"/>
        <v>350</v>
      </c>
      <c r="B27">
        <f t="shared" si="1"/>
        <v>9.8968873748817128</v>
      </c>
      <c r="C27">
        <f t="shared" si="2"/>
        <v>6.4002299384696935</v>
      </c>
      <c r="D27">
        <f t="shared" si="3"/>
        <v>7.6118829390396359</v>
      </c>
      <c r="E27">
        <v>518.70000000000005</v>
      </c>
    </row>
    <row r="28" spans="1:5" x14ac:dyDescent="0.3">
      <c r="A28">
        <f t="shared" si="0"/>
        <v>360</v>
      </c>
      <c r="B28">
        <f t="shared" si="1"/>
        <v>9.8787506847762927</v>
      </c>
      <c r="C28">
        <f t="shared" si="2"/>
        <v>6.4236090837778654</v>
      </c>
      <c r="D28">
        <f t="shared" si="3"/>
        <v>7.4578557290441569</v>
      </c>
      <c r="E28">
        <v>518.70000000000005</v>
      </c>
    </row>
    <row r="29" spans="1:5" x14ac:dyDescent="0.3">
      <c r="A29">
        <f t="shared" si="0"/>
        <v>370</v>
      </c>
      <c r="B29">
        <f t="shared" si="1"/>
        <v>9.8624439691882468</v>
      </c>
      <c r="C29">
        <f t="shared" si="2"/>
        <v>6.4499266015866201</v>
      </c>
      <c r="D29">
        <f t="shared" si="3"/>
        <v>7.3137278987889749</v>
      </c>
      <c r="E29">
        <v>518.70000000000005</v>
      </c>
    </row>
    <row r="30" spans="1:5" x14ac:dyDescent="0.3">
      <c r="A30">
        <f t="shared" si="0"/>
        <v>380</v>
      </c>
      <c r="B30">
        <f t="shared" si="1"/>
        <v>9.8478227564451508</v>
      </c>
      <c r="C30">
        <f t="shared" si="2"/>
        <v>6.478950515119597</v>
      </c>
      <c r="D30">
        <f t="shared" si="3"/>
        <v>7.1787179182945939</v>
      </c>
      <c r="E30">
        <v>518.70000000000005</v>
      </c>
    </row>
    <row r="31" spans="1:5" x14ac:dyDescent="0.3">
      <c r="A31">
        <f t="shared" si="0"/>
        <v>390</v>
      </c>
      <c r="B31">
        <f t="shared" si="1"/>
        <v>9.8347573924820093</v>
      </c>
      <c r="C31">
        <f t="shared" si="2"/>
        <v>6.5104726400903141</v>
      </c>
      <c r="D31">
        <f t="shared" si="3"/>
        <v>7.0521244145024911</v>
      </c>
      <c r="E31">
        <v>518.70000000000005</v>
      </c>
    </row>
    <row r="32" spans="1:5" x14ac:dyDescent="0.3">
      <c r="A32">
        <f t="shared" si="0"/>
        <v>400</v>
      </c>
      <c r="B32">
        <f t="shared" si="1"/>
        <v>9.8231311886403248</v>
      </c>
      <c r="C32">
        <f t="shared" si="2"/>
        <v>6.5443056106409436</v>
      </c>
      <c r="D32">
        <f t="shared" si="3"/>
        <v>6.9333161516599944</v>
      </c>
      <c r="E32">
        <v>518.70000000000005</v>
      </c>
    </row>
    <row r="33" spans="1:5" x14ac:dyDescent="0.3">
      <c r="A33">
        <f t="shared" si="0"/>
        <v>410</v>
      </c>
      <c r="B33">
        <f t="shared" si="1"/>
        <v>9.8128388405209677</v>
      </c>
      <c r="C33">
        <f t="shared" si="2"/>
        <v>6.5802803405095389</v>
      </c>
      <c r="D33">
        <f t="shared" si="3"/>
        <v>6.8217234779903038</v>
      </c>
      <c r="E33">
        <v>518.70000000000005</v>
      </c>
    </row>
    <row r="34" spans="1:5" x14ac:dyDescent="0.3">
      <c r="A34">
        <f t="shared" si="0"/>
        <v>420</v>
      </c>
      <c r="B34">
        <f>(27.54/0.75)*((464.67*0.025)/A34+(0.01989/464.67)*A34)+(6.096/0.75)</f>
        <v>9.8037850727151987</v>
      </c>
      <c r="C34">
        <f t="shared" si="2"/>
        <v>6.6182438468876761</v>
      </c>
      <c r="D34">
        <f t="shared" si="3"/>
        <v>6.7168309942667914</v>
      </c>
      <c r="E34">
        <v>518.70000000000005</v>
      </c>
    </row>
    <row r="35" spans="1:5" x14ac:dyDescent="0.3">
      <c r="A35">
        <f t="shared" si="0"/>
        <v>430</v>
      </c>
      <c r="B35">
        <f t="shared" si="1"/>
        <v>9.795883472643002</v>
      </c>
      <c r="C35">
        <f t="shared" si="2"/>
        <v>6.658057377925851</v>
      </c>
      <c r="D35">
        <f t="shared" si="3"/>
        <v>6.6181712453769315</v>
      </c>
      <c r="E35">
        <v>518.70000000000005</v>
      </c>
    </row>
    <row r="36" spans="1:5" x14ac:dyDescent="0.3">
      <c r="A36">
        <f t="shared" si="0"/>
        <v>440</v>
      </c>
      <c r="B36">
        <f t="shared" si="1"/>
        <v>9.7890554834134491</v>
      </c>
      <c r="C36">
        <f t="shared" si="2"/>
        <v>6.6995947955790616</v>
      </c>
      <c r="D36">
        <f t="shared" si="3"/>
        <v>6.5253192721275219</v>
      </c>
      <c r="E36">
        <v>518.70000000000005</v>
      </c>
    </row>
    <row r="37" spans="1:5" x14ac:dyDescent="0.3">
      <c r="A37">
        <f t="shared" si="0"/>
        <v>450</v>
      </c>
      <c r="B37">
        <f t="shared" si="1"/>
        <v>9.7832295309703667</v>
      </c>
      <c r="C37">
        <f t="shared" si="2"/>
        <v>6.7427411740729708</v>
      </c>
      <c r="D37">
        <f t="shared" si="3"/>
        <v>6.4378878894758653</v>
      </c>
      <c r="E37">
        <v>518.70000000000005</v>
      </c>
    </row>
    <row r="38" spans="1:5" x14ac:dyDescent="0.3">
      <c r="A38">
        <f t="shared" si="0"/>
        <v>460</v>
      </c>
      <c r="B38">
        <f t="shared" si="1"/>
        <v>9.7783402650885485</v>
      </c>
      <c r="C38">
        <f t="shared" si="2"/>
        <v>6.7873915811788397</v>
      </c>
      <c r="D38">
        <f t="shared" si="3"/>
        <v>6.3555235806438466</v>
      </c>
      <c r="E38">
        <v>518.70000000000005</v>
      </c>
    </row>
    <row r="39" spans="1:5" x14ac:dyDescent="0.3">
      <c r="A39">
        <f t="shared" si="0"/>
        <v>470</v>
      </c>
      <c r="B39">
        <f t="shared" si="1"/>
        <v>9.7743278972640848</v>
      </c>
      <c r="C39">
        <f t="shared" si="2"/>
        <v>6.8334500150703699</v>
      </c>
      <c r="D39">
        <f t="shared" si="3"/>
        <v>6.2779029153876609</v>
      </c>
      <c r="E39">
        <v>518.70000000000005</v>
      </c>
    </row>
    <row r="40" spans="1:5" x14ac:dyDescent="0.3">
      <c r="A40">
        <f t="shared" si="0"/>
        <v>480</v>
      </c>
      <c r="B40">
        <f t="shared" si="1"/>
        <v>9.7711376213683909</v>
      </c>
      <c r="C40">
        <f t="shared" si="2"/>
        <v>6.8808284740734598</v>
      </c>
      <c r="D40">
        <f t="shared" si="3"/>
        <v>6.2047294159838176</v>
      </c>
      <c r="E40">
        <v>518.70000000000005</v>
      </c>
    </row>
    <row r="41" spans="1:5" x14ac:dyDescent="0.3">
      <c r="A41">
        <f t="shared" si="0"/>
        <v>490</v>
      </c>
      <c r="B41">
        <f t="shared" si="1"/>
        <v>9.7687191052425622</v>
      </c>
      <c r="C41">
        <f t="shared" si="2"/>
        <v>6.9294461403241367</v>
      </c>
      <c r="D41">
        <f t="shared" si="3"/>
        <v>6.1357308069719689</v>
      </c>
      <c r="E41">
        <v>518.70000000000005</v>
      </c>
    </row>
    <row r="42" spans="1:5" x14ac:dyDescent="0.3">
      <c r="A42">
        <f t="shared" si="0"/>
        <v>500</v>
      </c>
      <c r="B42">
        <f t="shared" si="1"/>
        <v>9.7670260433004064</v>
      </c>
      <c r="C42">
        <f t="shared" si="2"/>
        <v>6.9792286613875429</v>
      </c>
      <c r="D42">
        <f t="shared" si="3"/>
        <v>6.0706565949285949</v>
      </c>
      <c r="E42">
        <v>518.70000000000005</v>
      </c>
    </row>
    <row r="43" spans="1:5" x14ac:dyDescent="0.3">
      <c r="A43">
        <f t="shared" si="0"/>
        <v>510</v>
      </c>
      <c r="B43">
        <f t="shared" si="1"/>
        <v>9.7660157617664147</v>
      </c>
      <c r="C43">
        <f t="shared" si="2"/>
        <v>7.0301075163923432</v>
      </c>
      <c r="D43">
        <f t="shared" si="3"/>
        <v>6.0092759329731988</v>
      </c>
      <c r="E43">
        <v>518.70000000000005</v>
      </c>
    </row>
    <row r="44" spans="1:5" x14ac:dyDescent="0.3">
      <c r="A44">
        <f t="shared" si="0"/>
        <v>520</v>
      </c>
      <c r="B44">
        <f t="shared" si="1"/>
        <v>9.7656488694631918</v>
      </c>
      <c r="C44">
        <f t="shared" si="2"/>
        <v>7.0820194553034588</v>
      </c>
      <c r="D44">
        <f t="shared" si="3"/>
        <v>5.9513757316776257</v>
      </c>
      <c r="E44">
        <v>518.70000000000005</v>
      </c>
    </row>
    <row r="45" spans="1:5" x14ac:dyDescent="0.3">
      <c r="A45">
        <f t="shared" si="0"/>
        <v>530</v>
      </c>
      <c r="B45">
        <f t="shared" si="1"/>
        <v>9.7658889481323943</v>
      </c>
      <c r="C45">
        <f t="shared" si="2"/>
        <v>7.1349060016733601</v>
      </c>
      <c r="D45">
        <f t="shared" si="3"/>
        <v>5.8967589838347187</v>
      </c>
      <c r="E45">
        <v>518.70000000000005</v>
      </c>
    </row>
    <row r="46" spans="1:5" x14ac:dyDescent="0.3">
      <c r="A46">
        <f t="shared" si="0"/>
        <v>540</v>
      </c>
      <c r="B46">
        <f t="shared" si="1"/>
        <v>9.7667022771644394</v>
      </c>
      <c r="C46">
        <f t="shared" si="2"/>
        <v>7.188713010643224</v>
      </c>
      <c r="D46">
        <f t="shared" si="3"/>
        <v>5.8452432753637709</v>
      </c>
      <c r="E46">
        <v>518.70000000000005</v>
      </c>
    </row>
    <row r="47" spans="1:5" x14ac:dyDescent="0.3">
      <c r="A47">
        <f t="shared" si="0"/>
        <v>550</v>
      </c>
      <c r="B47">
        <f t="shared" si="1"/>
        <v>9.7680575883577205</v>
      </c>
      <c r="C47">
        <f t="shared" si="2"/>
        <v>7.2433902751621471</v>
      </c>
      <c r="D47">
        <f t="shared" si="3"/>
        <v>5.7966594586626776</v>
      </c>
      <c r="E47">
        <v>518.70000000000005</v>
      </c>
    </row>
    <row r="48" spans="1:5" x14ac:dyDescent="0.3">
      <c r="A48">
        <f t="shared" si="0"/>
        <v>560</v>
      </c>
      <c r="B48">
        <f t="shared" si="1"/>
        <v>9.7699258469535977</v>
      </c>
      <c r="C48">
        <f t="shared" si="2"/>
        <v>7.2988911743971441</v>
      </c>
      <c r="D48">
        <f t="shared" si="3"/>
        <v>5.7508504681009098</v>
      </c>
      <c r="E48">
        <v>518.70000000000005</v>
      </c>
    </row>
    <row r="49" spans="1:5" x14ac:dyDescent="0.3">
      <c r="A49">
        <f t="shared" si="0"/>
        <v>570</v>
      </c>
      <c r="B49">
        <f t="shared" si="1"/>
        <v>9.7722800557203584</v>
      </c>
      <c r="C49">
        <f t="shared" si="2"/>
        <v>7.3551723591526299</v>
      </c>
      <c r="D49">
        <f t="shared" si="3"/>
        <v>5.7076702601974505</v>
      </c>
      <c r="E49">
        <v>518.70000000000005</v>
      </c>
    </row>
    <row r="50" spans="1:5" x14ac:dyDescent="0.3">
      <c r="A50">
        <f t="shared" si="0"/>
        <v>580</v>
      </c>
      <c r="B50">
        <f t="shared" si="1"/>
        <v>9.7750950793043341</v>
      </c>
      <c r="C50">
        <f t="shared" si="2"/>
        <v>7.4121934698327161</v>
      </c>
      <c r="D50">
        <f t="shared" si="3"/>
        <v>5.666982863435492</v>
      </c>
      <c r="E50">
        <v>518.70000000000005</v>
      </c>
    </row>
    <row r="51" spans="1:5" x14ac:dyDescent="0.3">
      <c r="A51">
        <f t="shared" si="0"/>
        <v>590</v>
      </c>
      <c r="B51">
        <f t="shared" si="1"/>
        <v>9.7783474864436322</v>
      </c>
      <c r="C51">
        <f t="shared" si="2"/>
        <v>7.4699168830853075</v>
      </c>
      <c r="D51">
        <f t="shared" si="3"/>
        <v>5.6286615247061427</v>
      </c>
      <c r="E51">
        <v>518.70000000000005</v>
      </c>
    </row>
    <row r="52" spans="1:5" x14ac:dyDescent="0.3">
      <c r="A52">
        <f t="shared" si="0"/>
        <v>600</v>
      </c>
      <c r="B52">
        <f t="shared" si="1"/>
        <v>9.782015407960488</v>
      </c>
      <c r="C52">
        <f t="shared" si="2"/>
        <v>7.5283074837817781</v>
      </c>
      <c r="D52">
        <f t="shared" si="3"/>
        <v>5.5925879411077739</v>
      </c>
      <c r="E52">
        <v>518.70000000000005</v>
      </c>
    </row>
    <row r="53" spans="1:5" x14ac:dyDescent="0.3">
      <c r="A53">
        <f t="shared" si="0"/>
        <v>610</v>
      </c>
      <c r="B53">
        <f t="shared" si="1"/>
        <v>9.7860784087215791</v>
      </c>
      <c r="C53">
        <f t="shared" si="2"/>
        <v>7.5873324594248857</v>
      </c>
      <c r="D53">
        <f t="shared" si="3"/>
        <v>5.5586515673060717</v>
      </c>
      <c r="E53">
        <v>518.70000000000005</v>
      </c>
    </row>
    <row r="54" spans="1:5" x14ac:dyDescent="0.3">
      <c r="A54">
        <f t="shared" si="0"/>
        <v>620</v>
      </c>
      <c r="B54">
        <f>(27.54/0.75)*((464.67*0.025)/A54+(0.01989/464.67)*A54)+(6.096/0.75)</f>
        <v>9.790517371989278</v>
      </c>
      <c r="C54">
        <f t="shared" si="2"/>
        <v>7.6469611144526999</v>
      </c>
      <c r="D54">
        <f t="shared" si="3"/>
        <v>5.5267489899237825</v>
      </c>
      <c r="E54">
        <v>518.70000000000005</v>
      </c>
    </row>
    <row r="55" spans="1:5" x14ac:dyDescent="0.3">
      <c r="A55">
        <f t="shared" si="0"/>
        <v>630</v>
      </c>
      <c r="B55">
        <f t="shared" si="1"/>
        <v>9.7953143947870842</v>
      </c>
      <c r="C55">
        <f t="shared" si="2"/>
        <v>7.7071647022278498</v>
      </c>
      <c r="D55">
        <f t="shared" si="3"/>
        <v>5.4967833615123602</v>
      </c>
      <c r="E55">
        <v>518.70000000000005</v>
      </c>
    </row>
    <row r="56" spans="1:5" x14ac:dyDescent="0.3">
      <c r="A56">
        <f t="shared" si="0"/>
        <v>640</v>
      </c>
      <c r="B56">
        <f t="shared" si="1"/>
        <v>9.8004526930745204</v>
      </c>
      <c r="C56">
        <f t="shared" si="2"/>
        <v>7.7679162727778079</v>
      </c>
      <c r="D56">
        <f t="shared" si="3"/>
        <v>5.4686638875887956</v>
      </c>
      <c r="E56">
        <v>518.70000000000005</v>
      </c>
    </row>
    <row r="57" spans="1:5" x14ac:dyDescent="0.3">
      <c r="A57">
        <f t="shared" si="0"/>
        <v>650</v>
      </c>
      <c r="B57">
        <f t="shared" si="1"/>
        <v>9.8059165156751433</v>
      </c>
      <c r="C57">
        <f t="shared" si="2"/>
        <v>7.8291905345898876</v>
      </c>
      <c r="D57">
        <f t="shared" si="3"/>
        <v>5.4423053610228802</v>
      </c>
      <c r="E57">
        <v>518.70000000000005</v>
      </c>
    </row>
    <row r="58" spans="1:5" x14ac:dyDescent="0.3">
      <c r="A58">
        <f t="shared" si="0"/>
        <v>660</v>
      </c>
      <c r="B58">
        <f t="shared" si="1"/>
        <v>9.8116910660292636</v>
      </c>
      <c r="C58">
        <f t="shared" si="2"/>
        <v>7.8909637289703571</v>
      </c>
      <c r="D58">
        <f t="shared" si="3"/>
        <v>5.4176277387529028</v>
      </c>
      <c r="E58">
        <v>518.70000000000005</v>
      </c>
    </row>
    <row r="59" spans="1:5" x14ac:dyDescent="0.3">
      <c r="A59">
        <f t="shared" si="0"/>
        <v>670</v>
      </c>
      <c r="B59">
        <f t="shared" si="1"/>
        <v>9.8177624309538878</v>
      </c>
      <c r="C59">
        <f t="shared" si="2"/>
        <v>7.9532135156549613</v>
      </c>
      <c r="D59">
        <f t="shared" si="3"/>
        <v>5.3945557564074038</v>
      </c>
      <c r="E59">
        <v>518.70000000000005</v>
      </c>
    </row>
    <row r="60" spans="1:5" x14ac:dyDescent="0.3">
      <c r="A60">
        <f t="shared" si="0"/>
        <v>680</v>
      </c>
      <c r="B60">
        <f t="shared" si="1"/>
        <v>9.8241175156885525</v>
      </c>
      <c r="C60">
        <f t="shared" si="2"/>
        <v>8.0159188685126352</v>
      </c>
      <c r="D60">
        <f t="shared" si="3"/>
        <v>5.3730185769308907</v>
      </c>
      <c r="E60">
        <v>518.70000000000005</v>
      </c>
    </row>
    <row r="61" spans="1:5" x14ac:dyDescent="0.3">
      <c r="A61">
        <f>A60+10</f>
        <v>690</v>
      </c>
      <c r="B61">
        <f t="shared" si="1"/>
        <v>9.8307439845893434</v>
      </c>
      <c r="C61">
        <f t="shared" si="2"/>
        <v>8.0790599803184602</v>
      </c>
      <c r="D61">
        <f t="shared" si="3"/>
        <v>5.3529494697638409</v>
      </c>
      <c r="E61">
        <v>518.70000000000005</v>
      </c>
    </row>
    <row r="62" spans="1:5" x14ac:dyDescent="0.3">
      <c r="A62">
        <f t="shared" si="0"/>
        <v>700</v>
      </c>
      <c r="B62">
        <f t="shared" si="1"/>
        <v>9.8376302069062831</v>
      </c>
      <c r="C62">
        <f t="shared" si="2"/>
        <v>8.1426181756889466</v>
      </c>
      <c r="D62">
        <f t="shared" si="3"/>
        <v>5.3342855175215673</v>
      </c>
      <c r="E62">
        <v>518.70000000000005</v>
      </c>
    </row>
    <row r="63" spans="1:5" x14ac:dyDescent="0.3">
      <c r="A63">
        <f t="shared" si="0"/>
        <v>710</v>
      </c>
      <c r="B63">
        <f t="shared" si="1"/>
        <v>9.844765207142915</v>
      </c>
      <c r="C63">
        <f t="shared" si="2"/>
        <v>8.2065758313748809</v>
      </c>
      <c r="D63">
        <f t="shared" si="3"/>
        <v>5.3169673474607668</v>
      </c>
      <c r="E63">
        <v>518.70000000000005</v>
      </c>
    </row>
    <row r="64" spans="1:5" x14ac:dyDescent="0.3">
      <c r="A64">
        <f t="shared" si="0"/>
        <v>720</v>
      </c>
      <c r="B64">
        <f t="shared" si="1"/>
        <v>9.8521386195525853</v>
      </c>
      <c r="C64">
        <f t="shared" si="2"/>
        <v>8.2709163031964579</v>
      </c>
      <c r="D64">
        <f t="shared" si="3"/>
        <v>5.3009388853238777</v>
      </c>
      <c r="E64">
        <v>518.70000000000005</v>
      </c>
    </row>
    <row r="65" spans="1:5" x14ac:dyDescent="0.3">
      <c r="A65">
        <f t="shared" si="0"/>
        <v>730</v>
      </c>
      <c r="B65">
        <f t="shared" si="1"/>
        <v>9.8597406463747586</v>
      </c>
      <c r="C65">
        <f t="shared" si="2"/>
        <v>8.3356238589837144</v>
      </c>
      <c r="D65">
        <f t="shared" si="3"/>
        <v>5.2861471294153972</v>
      </c>
      <c r="E65">
        <v>518.70000000000005</v>
      </c>
    </row>
    <row r="66" spans="1:5" x14ac:dyDescent="0.3">
      <c r="A66">
        <f t="shared" si="0"/>
        <v>740</v>
      </c>
      <c r="B66">
        <f t="shared" si="1"/>
        <v>9.8675620194575746</v>
      </c>
      <c r="C66">
        <f t="shared" si="2"/>
        <v>8.4006836169542591</v>
      </c>
      <c r="D66">
        <f t="shared" si="3"/>
        <v>5.2725419429963365</v>
      </c>
      <c r="E66">
        <v>518.70000000000005</v>
      </c>
    </row>
    <row r="67" spans="1:5" x14ac:dyDescent="0.3">
      <c r="A67">
        <f t="shared" ref="A67:A74" si="4">A66+10</f>
        <v>750</v>
      </c>
      <c r="B67">
        <f t="shared" ref="B67:B72" si="5">(27.54/0.75)*((464.67*0.025)/A67+(0.01989/464.67)*A67)+(6.096/0.75)</f>
        <v>9.8755939649506104</v>
      </c>
      <c r="C67">
        <f t="shared" ref="C67:C74" si="6">( (30.52/0.75) * ((264.76 * 0.025)/A67 + (0.01989/264.76)*A67) + (0.508/0.75) ) / 0.393248</f>
        <v>8.4660814890207643</v>
      </c>
      <c r="D67">
        <f t="shared" ref="D67:D74" si="7">( (47.7/0.8) * ((794.13 * 0.025)/A67 + (0.01989/794.13)*A67) ) / 0.512991</f>
        <v>5.2600758632871187</v>
      </c>
      <c r="E67">
        <v>518.70000000000005</v>
      </c>
    </row>
    <row r="68" spans="1:5" x14ac:dyDescent="0.3">
      <c r="A68">
        <f t="shared" si="4"/>
        <v>760</v>
      </c>
      <c r="B68">
        <f t="shared" si="5"/>
        <v>9.8838281707850388</v>
      </c>
      <c r="C68">
        <f t="shared" si="6"/>
        <v>8.5318041285741728</v>
      </c>
      <c r="D68">
        <f t="shared" si="7"/>
        <v>5.2487039255491963</v>
      </c>
      <c r="E68">
        <v>518.70000000000005</v>
      </c>
    </row>
    <row r="69" spans="1:5" x14ac:dyDescent="0.3">
      <c r="A69">
        <f t="shared" si="4"/>
        <v>770</v>
      </c>
      <c r="B69">
        <f t="shared" si="5"/>
        <v>9.8922567566878215</v>
      </c>
      <c r="C69">
        <f t="shared" si="6"/>
        <v>8.597838882335779</v>
      </c>
      <c r="D69">
        <f t="shared" si="7"/>
        <v>5.2383835008745967</v>
      </c>
      <c r="E69">
        <v>518.70000000000005</v>
      </c>
    </row>
    <row r="70" spans="1:5" x14ac:dyDescent="0.3">
      <c r="A70">
        <f t="shared" si="4"/>
        <v>780</v>
      </c>
      <c r="B70">
        <f t="shared" si="5"/>
        <v>9.9008722465024803</v>
      </c>
      <c r="C70">
        <f t="shared" si="6"/>
        <v>8.664173745912958</v>
      </c>
      <c r="D70">
        <f t="shared" si="7"/>
        <v>5.2290741464531942</v>
      </c>
      <c r="E70">
        <v>518.70000000000005</v>
      </c>
    </row>
    <row r="71" spans="1:5" x14ac:dyDescent="0.3">
      <c r="A71">
        <f t="shared" si="4"/>
        <v>790</v>
      </c>
      <c r="B71">
        <f t="shared" si="5"/>
        <v>9.9096675426121106</v>
      </c>
      <c r="C71">
        <f t="shared" si="6"/>
        <v>8.7307973227304352</v>
      </c>
      <c r="D71">
        <f t="shared" si="7"/>
        <v>5.2207374672120803</v>
      </c>
      <c r="E71">
        <v>518.70000000000005</v>
      </c>
    </row>
    <row r="72" spans="1:5" x14ac:dyDescent="0.3">
      <c r="A72">
        <f t="shared" si="4"/>
        <v>800</v>
      </c>
      <c r="B72">
        <f t="shared" si="5"/>
        <v>9.9186359022806521</v>
      </c>
      <c r="C72">
        <f t="shared" si="6"/>
        <v>8.797698786041698</v>
      </c>
      <c r="D72">
        <f t="shared" si="7"/>
        <v>5.2133369878319957</v>
      </c>
      <c r="E72">
        <v>518.70000000000005</v>
      </c>
    </row>
    <row r="73" spans="1:5" x14ac:dyDescent="0.3">
      <c r="A73">
        <f t="shared" si="4"/>
        <v>810</v>
      </c>
      <c r="B73">
        <f>(27.54/0.75)*((464.67*0.025)/A73+(0.01989/464.67)*A73)+(6.096/0.75)</f>
        <v>9.9277709157466596</v>
      </c>
      <c r="C73">
        <f t="shared" si="6"/>
        <v>8.8648678437543857</v>
      </c>
      <c r="D73">
        <f t="shared" si="7"/>
        <v>5.2068380342440133</v>
      </c>
      <c r="E73">
        <v>518.70000000000005</v>
      </c>
    </row>
    <row r="74" spans="1:5" x14ac:dyDescent="0.3">
      <c r="A74">
        <f t="shared" si="4"/>
        <v>820</v>
      </c>
      <c r="B74">
        <f t="shared" ref="B74" si="8">(27.54/0.75)*((464.67*0.025)/A74+(0.01989/464.67)*A74)+(6.096/0.75)</f>
        <v>9.9370664859199849</v>
      </c>
      <c r="C74">
        <f t="shared" si="6"/>
        <v>8.9322947058294222</v>
      </c>
      <c r="D74">
        <f t="shared" si="7"/>
        <v>5.2012076237971998</v>
      </c>
      <c r="E74">
        <v>518.70000000000005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74DA-34C3-439D-8330-72ADC158A4E7}">
  <dimension ref="A1:D74"/>
  <sheetViews>
    <sheetView tabSelected="1" workbookViewId="0">
      <selection activeCell="P17" sqref="P17"/>
    </sheetView>
  </sheetViews>
  <sheetFormatPr defaultRowHeight="14.4" x14ac:dyDescent="0.3"/>
  <cols>
    <col min="1" max="1" width="15" customWidth="1"/>
    <col min="2" max="2" width="12.44140625" customWidth="1"/>
    <col min="3" max="3" width="16.21875" customWidth="1"/>
    <col min="4" max="4" width="12.6640625" customWidth="1"/>
  </cols>
  <sheetData>
    <row r="1" spans="1:4" x14ac:dyDescent="0.3">
      <c r="A1" t="s">
        <v>802</v>
      </c>
      <c r="B1" t="s">
        <v>803</v>
      </c>
      <c r="C1" t="s">
        <v>804</v>
      </c>
      <c r="D1" t="s">
        <v>805</v>
      </c>
    </row>
    <row r="2" spans="1:4" x14ac:dyDescent="0.3">
      <c r="A2">
        <v>100</v>
      </c>
      <c r="B2">
        <f>(27.54/0.75)*((464.67*0.025)/A2+(0.01989/464.67)*A2)+(6.096/0.75)</f>
        <v>12.550848984660082</v>
      </c>
      <c r="C2">
        <f>(0.9555 / 0.393248) * ( (30.52/0.75) * ((264.76 * 0.025)/(A2 * 0.9555) + (0.01989/264.76)*(A2 * 0.9555)) + (0.508/0.75) )</f>
        <v>9.2048487854352743</v>
      </c>
      <c r="D2">
        <f>(0.9555 / 0.512991) * ( (47.7/0.8) * ((794.13 * 0.025)/(A2 * 0.9555) + (0.01989/794.13)*(A2 * 0.9555)) )</f>
        <v>23.3412347329262</v>
      </c>
    </row>
    <row r="3" spans="1:4" x14ac:dyDescent="0.3">
      <c r="A3">
        <f t="shared" ref="A3:A66" si="0">A2+10</f>
        <v>110</v>
      </c>
      <c r="B3">
        <f t="shared" ref="B3:B66" si="1">(27.54/0.75)*((464.67*0.025)/A3+(0.01989/464.67)*A3)+(6.096/0.75)</f>
        <v>12.178778586762453</v>
      </c>
      <c r="C3">
        <f t="shared" ref="C3:C66" si="2">(0.9555 / 0.393248) * ( (30.52/0.75) * ((264.76 * 0.025)/(A3 * 0.9555) + (0.01989/264.76)*(A3 * 0.9555)) + (0.508/0.75) )</f>
        <v>8.6531551451260214</v>
      </c>
      <c r="D3">
        <f t="shared" ref="D3:D66" si="3">(0.9555 / 0.512991) * ( (47.7/0.8) * ((794.13 * 0.025)/(A3 * 0.9555) + (0.01989/794.13)*(A3 * 0.9555)) )</f>
        <v>21.270044227424929</v>
      </c>
    </row>
    <row r="4" spans="1:4" x14ac:dyDescent="0.3">
      <c r="A4">
        <f t="shared" si="0"/>
        <v>120</v>
      </c>
      <c r="B4">
        <f t="shared" si="1"/>
        <v>11.871339561592098</v>
      </c>
      <c r="C4">
        <f t="shared" si="2"/>
        <v>8.2052394790418894</v>
      </c>
      <c r="D4">
        <f t="shared" si="3"/>
        <v>19.548481815478734</v>
      </c>
    </row>
    <row r="5" spans="1:4" x14ac:dyDescent="0.3">
      <c r="A5">
        <f t="shared" si="0"/>
        <v>130</v>
      </c>
      <c r="B5">
        <f t="shared" si="1"/>
        <v>11.613616976981184</v>
      </c>
      <c r="C5">
        <f t="shared" si="2"/>
        <v>7.8371530239001608</v>
      </c>
      <c r="D5">
        <f t="shared" si="3"/>
        <v>18.095864090882589</v>
      </c>
    </row>
    <row r="6" spans="1:4" x14ac:dyDescent="0.3">
      <c r="A6">
        <f t="shared" si="0"/>
        <v>140</v>
      </c>
      <c r="B6">
        <f t="shared" si="1"/>
        <v>11.394957309952686</v>
      </c>
      <c r="C6">
        <f t="shared" si="2"/>
        <v>7.5317895202131746</v>
      </c>
      <c r="D6">
        <f t="shared" si="3"/>
        <v>16.854560049204345</v>
      </c>
    </row>
    <row r="7" spans="1:4" x14ac:dyDescent="0.3">
      <c r="A7">
        <f t="shared" si="0"/>
        <v>150</v>
      </c>
      <c r="B7">
        <f t="shared" si="1"/>
        <v>11.207547976990123</v>
      </c>
      <c r="C7">
        <f t="shared" si="2"/>
        <v>7.2766043776899849</v>
      </c>
      <c r="D7">
        <f t="shared" si="3"/>
        <v>15.782306953860424</v>
      </c>
    </row>
    <row r="8" spans="1:4" x14ac:dyDescent="0.3">
      <c r="A8">
        <f t="shared" si="0"/>
        <v>160</v>
      </c>
      <c r="B8">
        <f t="shared" si="1"/>
        <v>11.04552954045613</v>
      </c>
      <c r="C8">
        <f t="shared" si="2"/>
        <v>7.0621891536123789</v>
      </c>
      <c r="D8">
        <f t="shared" si="3"/>
        <v>14.84740775241314</v>
      </c>
    </row>
    <row r="9" spans="1:4" x14ac:dyDescent="0.3">
      <c r="A9">
        <f t="shared" si="0"/>
        <v>170</v>
      </c>
      <c r="B9">
        <f t="shared" si="1"/>
        <v>10.904421253922139</v>
      </c>
      <c r="C9">
        <f t="shared" si="2"/>
        <v>6.881349156489958</v>
      </c>
      <c r="D9">
        <f t="shared" si="3"/>
        <v>14.025623522410136</v>
      </c>
    </row>
    <row r="10" spans="1:4" x14ac:dyDescent="0.3">
      <c r="A10">
        <f t="shared" si="0"/>
        <v>180</v>
      </c>
      <c r="B10">
        <f t="shared" si="1"/>
        <v>10.780738092388148</v>
      </c>
      <c r="C10">
        <f t="shared" si="2"/>
        <v>6.7284885151635265</v>
      </c>
      <c r="D10">
        <f t="shared" si="3"/>
        <v>13.298101768610708</v>
      </c>
    </row>
    <row r="11" spans="1:4" x14ac:dyDescent="0.3">
      <c r="A11">
        <f t="shared" si="0"/>
        <v>190</v>
      </c>
      <c r="B11">
        <f t="shared" si="1"/>
        <v>10.671728720327838</v>
      </c>
      <c r="C11">
        <f t="shared" si="2"/>
        <v>6.5991894366126651</v>
      </c>
      <c r="D11">
        <f t="shared" si="3"/>
        <v>12.649958942140604</v>
      </c>
    </row>
    <row r="12" spans="1:4" x14ac:dyDescent="0.3">
      <c r="A12">
        <f t="shared" si="0"/>
        <v>200</v>
      </c>
      <c r="B12">
        <f t="shared" si="1"/>
        <v>10.575192069320163</v>
      </c>
      <c r="C12">
        <f t="shared" si="2"/>
        <v>6.4899176864210393</v>
      </c>
      <c r="D12">
        <f t="shared" si="3"/>
        <v>12.069288203900427</v>
      </c>
    </row>
    <row r="13" spans="1:4" x14ac:dyDescent="0.3">
      <c r="A13">
        <f t="shared" si="0"/>
        <v>210</v>
      </c>
      <c r="B13">
        <f t="shared" si="1"/>
        <v>10.489346322071885</v>
      </c>
      <c r="C13">
        <f t="shared" si="2"/>
        <v>6.3978122176801842</v>
      </c>
      <c r="D13">
        <f t="shared" si="3"/>
        <v>11.546450684143045</v>
      </c>
    </row>
    <row r="14" spans="1:4" x14ac:dyDescent="0.3">
      <c r="A14">
        <f t="shared" si="0"/>
        <v>220</v>
      </c>
      <c r="B14">
        <f t="shared" si="1"/>
        <v>10.412733628070361</v>
      </c>
      <c r="C14">
        <f t="shared" si="2"/>
        <v>6.3205321738286315</v>
      </c>
      <c r="D14">
        <f t="shared" si="3"/>
        <v>11.073560034893527</v>
      </c>
    </row>
    <row r="15" spans="1:4" x14ac:dyDescent="0.3">
      <c r="A15">
        <f t="shared" si="0"/>
        <v>230</v>
      </c>
      <c r="B15">
        <f t="shared" si="1"/>
        <v>10.344149676022536</v>
      </c>
      <c r="C15">
        <f t="shared" si="2"/>
        <v>6.2561438037938641</v>
      </c>
      <c r="D15">
        <f t="shared" si="3"/>
        <v>10.644101446955199</v>
      </c>
    </row>
    <row r="16" spans="1:4" x14ac:dyDescent="0.3">
      <c r="A16">
        <f t="shared" si="0"/>
        <v>240</v>
      </c>
      <c r="B16">
        <f t="shared" si="1"/>
        <v>10.282590873184196</v>
      </c>
      <c r="C16">
        <f t="shared" si="2"/>
        <v>6.2030356483487843</v>
      </c>
      <c r="D16">
        <f t="shared" si="3"/>
        <v>10.252645912664162</v>
      </c>
    </row>
    <row r="17" spans="1:4" x14ac:dyDescent="0.3">
      <c r="A17">
        <f t="shared" si="0"/>
        <v>250</v>
      </c>
      <c r="B17">
        <f t="shared" si="1"/>
        <v>10.227214201650204</v>
      </c>
      <c r="C17">
        <f t="shared" si="2"/>
        <v>6.1598540817426297</v>
      </c>
      <c r="D17">
        <f t="shared" si="3"/>
        <v>9.8946330655827381</v>
      </c>
    </row>
    <row r="18" spans="1:4" x14ac:dyDescent="0.3">
      <c r="A18">
        <f t="shared" si="0"/>
        <v>260</v>
      </c>
      <c r="B18">
        <f t="shared" si="1"/>
        <v>10.17730633857775</v>
      </c>
      <c r="C18">
        <f t="shared" si="2"/>
        <v>6.1254537283401396</v>
      </c>
      <c r="D18">
        <f t="shared" si="3"/>
        <v>9.5662041341098227</v>
      </c>
    </row>
    <row r="19" spans="1:4" x14ac:dyDescent="0.3">
      <c r="A19">
        <f t="shared" si="0"/>
        <v>270</v>
      </c>
      <c r="B19">
        <f t="shared" si="1"/>
        <v>10.132259638582219</v>
      </c>
      <c r="C19">
        <f t="shared" si="2"/>
        <v>6.09885889778535</v>
      </c>
      <c r="D19">
        <f t="shared" si="3"/>
        <v>9.2640720165111343</v>
      </c>
    </row>
    <row r="20" spans="1:4" x14ac:dyDescent="0.3">
      <c r="A20">
        <f t="shared" si="0"/>
        <v>280</v>
      </c>
      <c r="B20">
        <f t="shared" si="1"/>
        <v>10.091553262762513</v>
      </c>
      <c r="C20">
        <f t="shared" si="2"/>
        <v>6.0792332840588656</v>
      </c>
      <c r="D20">
        <f t="shared" si="3"/>
        <v>8.9854191970144335</v>
      </c>
    </row>
    <row r="21" spans="1:4" x14ac:dyDescent="0.3">
      <c r="A21">
        <f t="shared" si="0"/>
        <v>290</v>
      </c>
      <c r="B21">
        <f t="shared" si="1"/>
        <v>10.05473821206596</v>
      </c>
      <c r="C21">
        <f t="shared" si="2"/>
        <v>6.0658559336956888</v>
      </c>
      <c r="D21">
        <f t="shared" si="3"/>
        <v>8.7278167827126207</v>
      </c>
    </row>
    <row r="22" spans="1:4" x14ac:dyDescent="0.3">
      <c r="A22">
        <f t="shared" si="0"/>
        <v>300</v>
      </c>
      <c r="B22">
        <f t="shared" si="1"/>
        <v>10.021425353980245</v>
      </c>
      <c r="C22">
        <f t="shared" si="2"/>
        <v>6.0581020203594909</v>
      </c>
      <c r="D22">
        <f t="shared" si="3"/>
        <v>8.4891597330862059</v>
      </c>
    </row>
    <row r="23" spans="1:4" x14ac:dyDescent="0.3">
      <c r="A23">
        <f t="shared" si="0"/>
        <v>310</v>
      </c>
      <c r="B23">
        <f t="shared" si="1"/>
        <v>9.9912757666398004</v>
      </c>
      <c r="C23">
        <f t="shared" si="2"/>
        <v>6.0554273404670109</v>
      </c>
      <c r="D23">
        <f t="shared" si="3"/>
        <v>8.267614625747246</v>
      </c>
    </row>
    <row r="24" spans="1:4" x14ac:dyDescent="0.3">
      <c r="A24">
        <f t="shared" si="0"/>
        <v>320</v>
      </c>
      <c r="B24">
        <f t="shared" si="1"/>
        <v>9.9639928934122608</v>
      </c>
      <c r="C24">
        <f t="shared" si="2"/>
        <v>6.0573557158829052</v>
      </c>
      <c r="D24">
        <f t="shared" si="3"/>
        <v>8.0615772161062953</v>
      </c>
    </row>
    <row r="25" spans="1:4" x14ac:dyDescent="0.3">
      <c r="A25">
        <f t="shared" si="0"/>
        <v>330</v>
      </c>
      <c r="B25">
        <f t="shared" si="1"/>
        <v>9.9393161239237227</v>
      </c>
      <c r="C25">
        <f t="shared" si="2"/>
        <v>6.0634686870336827</v>
      </c>
      <c r="D25">
        <f t="shared" si="3"/>
        <v>7.86963771346353</v>
      </c>
    </row>
    <row r="26" spans="1:4" x14ac:dyDescent="0.3">
      <c r="A26">
        <f t="shared" si="0"/>
        <v>340</v>
      </c>
      <c r="B26">
        <f t="shared" si="1"/>
        <v>9.9170155078442761</v>
      </c>
      <c r="C26">
        <f t="shared" si="2"/>
        <v>6.0733970248839144</v>
      </c>
      <c r="D26">
        <f t="shared" si="3"/>
        <v>7.6905521848485252</v>
      </c>
    </row>
    <row r="27" spans="1:4" x14ac:dyDescent="0.3">
      <c r="A27">
        <f t="shared" si="0"/>
        <v>350</v>
      </c>
      <c r="B27">
        <f t="shared" si="1"/>
        <v>9.8968873748817128</v>
      </c>
      <c r="C27">
        <f t="shared" si="2"/>
        <v>6.0868136980022172</v>
      </c>
      <c r="D27">
        <f t="shared" si="3"/>
        <v>7.5232188610589015</v>
      </c>
    </row>
    <row r="28" spans="1:4" x14ac:dyDescent="0.3">
      <c r="A28">
        <f t="shared" si="0"/>
        <v>360</v>
      </c>
      <c r="B28">
        <f t="shared" si="1"/>
        <v>9.8787506847762927</v>
      </c>
      <c r="C28">
        <f t="shared" si="2"/>
        <v>6.1034280117829178</v>
      </c>
      <c r="D28">
        <f t="shared" si="3"/>
        <v>7.3666583916925443</v>
      </c>
    </row>
    <row r="29" spans="1:4" x14ac:dyDescent="0.3">
      <c r="A29">
        <f t="shared" si="0"/>
        <v>370</v>
      </c>
      <c r="B29">
        <f t="shared" si="1"/>
        <v>9.8624439691882468</v>
      </c>
      <c r="C29">
        <f t="shared" si="2"/>
        <v>6.1229806980642021</v>
      </c>
      <c r="D29">
        <f t="shared" si="3"/>
        <v>7.2199973020664849</v>
      </c>
    </row>
    <row r="30" spans="1:4" x14ac:dyDescent="0.3">
      <c r="A30">
        <f t="shared" si="0"/>
        <v>380</v>
      </c>
      <c r="B30">
        <f t="shared" si="1"/>
        <v>9.8478227564451508</v>
      </c>
      <c r="C30">
        <f t="shared" si="2"/>
        <v>6.1452397800697067</v>
      </c>
      <c r="D30">
        <f t="shared" si="3"/>
        <v>7.0824540622012258</v>
      </c>
    </row>
    <row r="31" spans="1:4" x14ac:dyDescent="0.3">
      <c r="A31">
        <f t="shared" si="0"/>
        <v>390</v>
      </c>
      <c r="B31">
        <f t="shared" si="1"/>
        <v>9.8347573924820093</v>
      </c>
      <c r="C31">
        <f t="shared" si="2"/>
        <v>6.1699970735129535</v>
      </c>
      <c r="D31">
        <f t="shared" si="3"/>
        <v>6.9533272990382455</v>
      </c>
    </row>
    <row r="32" spans="1:4" x14ac:dyDescent="0.3">
      <c r="A32">
        <f t="shared" si="0"/>
        <v>400</v>
      </c>
      <c r="B32">
        <f t="shared" si="1"/>
        <v>9.8231311886403248</v>
      </c>
      <c r="C32">
        <f t="shared" si="2"/>
        <v>6.1970652125361108</v>
      </c>
      <c r="D32">
        <f t="shared" si="3"/>
        <v>6.8319857768248697</v>
      </c>
    </row>
    <row r="33" spans="1:4" x14ac:dyDescent="0.3">
      <c r="A33">
        <f t="shared" si="0"/>
        <v>410</v>
      </c>
      <c r="B33">
        <f t="shared" si="1"/>
        <v>9.8128388405209677</v>
      </c>
      <c r="C33">
        <f t="shared" si="2"/>
        <v>6.2262751108772383</v>
      </c>
      <c r="D33">
        <f t="shared" si="3"/>
        <v>6.7178598437843018</v>
      </c>
    </row>
    <row r="34" spans="1:4" x14ac:dyDescent="0.3">
      <c r="A34">
        <f t="shared" si="0"/>
        <v>420</v>
      </c>
      <c r="B34">
        <f>(27.54/0.75)*((464.67*0.025)/A34+(0.01989/464.67)*A34)+(6.096/0.75)</f>
        <v>9.8037850727151987</v>
      </c>
      <c r="C34">
        <f t="shared" si="2"/>
        <v>6.2574737857279041</v>
      </c>
      <c r="D34">
        <f t="shared" si="3"/>
        <v>6.6104341006899112</v>
      </c>
    </row>
    <row r="35" spans="1:4" x14ac:dyDescent="0.3">
      <c r="A35">
        <f t="shared" si="0"/>
        <v>430</v>
      </c>
      <c r="B35">
        <f t="shared" si="1"/>
        <v>9.795883472643002</v>
      </c>
      <c r="C35">
        <f t="shared" si="2"/>
        <v>6.2905224852386077</v>
      </c>
      <c r="D35">
        <f t="shared" si="3"/>
        <v>6.509241092429173</v>
      </c>
    </row>
    <row r="36" spans="1:4" x14ac:dyDescent="0.3">
      <c r="A36">
        <f t="shared" si="0"/>
        <v>440</v>
      </c>
      <c r="B36">
        <f t="shared" si="1"/>
        <v>9.7890554834134491</v>
      </c>
      <c r="C36">
        <f t="shared" si="2"/>
        <v>6.325295071364347</v>
      </c>
      <c r="D36">
        <f t="shared" si="3"/>
        <v>6.4138558598088853</v>
      </c>
    </row>
    <row r="37" spans="1:4" x14ac:dyDescent="0.3">
      <c r="A37">
        <f t="shared" si="0"/>
        <v>450</v>
      </c>
      <c r="B37">
        <f t="shared" si="1"/>
        <v>9.7832295309703667</v>
      </c>
      <c r="C37">
        <f t="shared" si="2"/>
        <v>6.3616766183307858</v>
      </c>
      <c r="D37">
        <f t="shared" si="3"/>
        <v>6.3238912177863496</v>
      </c>
    </row>
    <row r="38" spans="1:4" x14ac:dyDescent="0.3">
      <c r="A38">
        <f t="shared" si="0"/>
        <v>460</v>
      </c>
      <c r="B38">
        <f t="shared" si="1"/>
        <v>9.7783402650885485</v>
      </c>
      <c r="C38">
        <f t="shared" si="2"/>
        <v>6.3995621939091825</v>
      </c>
      <c r="D38">
        <f t="shared" si="3"/>
        <v>6.2389936495834544</v>
      </c>
    </row>
    <row r="39" spans="1:4" x14ac:dyDescent="0.3">
      <c r="A39">
        <f t="shared" si="0"/>
        <v>470</v>
      </c>
      <c r="B39">
        <f t="shared" si="1"/>
        <v>9.7743278972640848</v>
      </c>
      <c r="C39">
        <f t="shared" si="2"/>
        <v>6.4388557962732422</v>
      </c>
      <c r="D39">
        <f t="shared" si="3"/>
        <v>6.1588397249563904</v>
      </c>
    </row>
    <row r="40" spans="1:4" x14ac:dyDescent="0.3">
      <c r="A40">
        <f t="shared" si="0"/>
        <v>480</v>
      </c>
      <c r="B40">
        <f t="shared" si="1"/>
        <v>9.7711376213683909</v>
      </c>
      <c r="C40">
        <f t="shared" si="2"/>
        <v>6.4794694237488608</v>
      </c>
      <c r="D40">
        <f t="shared" si="3"/>
        <v>6.0831329661816689</v>
      </c>
    </row>
    <row r="41" spans="1:4" x14ac:dyDescent="0.3">
      <c r="A41">
        <f t="shared" si="0"/>
        <v>490</v>
      </c>
      <c r="B41">
        <f t="shared" si="1"/>
        <v>9.7687191052425622</v>
      </c>
      <c r="C41">
        <f t="shared" si="2"/>
        <v>6.5213222584720674</v>
      </c>
      <c r="D41">
        <f t="shared" si="3"/>
        <v>6.0116010977989411</v>
      </c>
    </row>
    <row r="42" spans="1:4" x14ac:dyDescent="0.3">
      <c r="A42">
        <f t="shared" si="0"/>
        <v>500</v>
      </c>
      <c r="B42">
        <f t="shared" si="1"/>
        <v>9.7670260433004064</v>
      </c>
      <c r="C42">
        <f t="shared" si="2"/>
        <v>6.5643399480080031</v>
      </c>
      <c r="D42">
        <f t="shared" si="3"/>
        <v>5.9439936263846898</v>
      </c>
    </row>
    <row r="43" spans="1:4" x14ac:dyDescent="0.3">
      <c r="A43">
        <f t="shared" si="0"/>
        <v>510</v>
      </c>
      <c r="B43">
        <f t="shared" si="1"/>
        <v>9.7660157617664147</v>
      </c>
      <c r="C43">
        <f t="shared" si="2"/>
        <v>6.608453971485333</v>
      </c>
      <c r="D43">
        <f t="shared" si="3"/>
        <v>5.8800797050584146</v>
      </c>
    </row>
    <row r="44" spans="1:4" x14ac:dyDescent="0.3">
      <c r="A44">
        <f t="shared" si="0"/>
        <v>520</v>
      </c>
      <c r="B44">
        <f t="shared" si="1"/>
        <v>9.7656488694631918</v>
      </c>
      <c r="C44">
        <f t="shared" si="2"/>
        <v>6.6536010788689763</v>
      </c>
      <c r="D44">
        <f t="shared" si="3"/>
        <v>5.8196462443919641</v>
      </c>
    </row>
    <row r="45" spans="1:4" x14ac:dyDescent="0.3">
      <c r="A45">
        <f t="shared" si="0"/>
        <v>530</v>
      </c>
      <c r="B45">
        <f t="shared" si="1"/>
        <v>9.7658889481323943</v>
      </c>
      <c r="C45">
        <f t="shared" si="2"/>
        <v>6.6997227937114063</v>
      </c>
      <c r="D45">
        <f t="shared" si="3"/>
        <v>5.7624962371781789</v>
      </c>
    </row>
    <row r="46" spans="1:4" x14ac:dyDescent="0.3">
      <c r="A46">
        <f t="shared" si="0"/>
        <v>540</v>
      </c>
      <c r="B46">
        <f t="shared" si="1"/>
        <v>9.7667022771644394</v>
      </c>
      <c r="C46">
        <f t="shared" si="2"/>
        <v>6.7467649711538016</v>
      </c>
      <c r="D46">
        <f t="shared" si="3"/>
        <v>5.7084472693363528</v>
      </c>
    </row>
    <row r="47" spans="1:4" x14ac:dyDescent="0.3">
      <c r="A47">
        <f t="shared" si="0"/>
        <v>550</v>
      </c>
      <c r="B47">
        <f t="shared" si="1"/>
        <v>9.7680575883577205</v>
      </c>
      <c r="C47">
        <f t="shared" si="2"/>
        <v>6.7946774041452542</v>
      </c>
      <c r="D47">
        <f t="shared" si="3"/>
        <v>5.6573301932643822</v>
      </c>
    </row>
    <row r="48" spans="1:4" x14ac:dyDescent="0.3">
      <c r="A48">
        <f t="shared" si="0"/>
        <v>560</v>
      </c>
      <c r="B48">
        <f t="shared" si="1"/>
        <v>9.7699258469535977</v>
      </c>
      <c r="C48">
        <f t="shared" si="2"/>
        <v>6.8434134718527782</v>
      </c>
      <c r="D48">
        <f t="shared" si="3"/>
        <v>5.6089879433317353</v>
      </c>
    </row>
    <row r="49" spans="1:4" x14ac:dyDescent="0.3">
      <c r="A49">
        <f t="shared" si="0"/>
        <v>570</v>
      </c>
      <c r="B49">
        <f t="shared" si="1"/>
        <v>9.7722800557203584</v>
      </c>
      <c r="C49">
        <f t="shared" si="2"/>
        <v>6.8929298250807927</v>
      </c>
      <c r="D49">
        <f t="shared" si="3"/>
        <v>5.5632744760573996</v>
      </c>
    </row>
    <row r="50" spans="1:4" x14ac:dyDescent="0.3">
      <c r="A50">
        <f t="shared" si="0"/>
        <v>580</v>
      </c>
      <c r="B50">
        <f t="shared" si="1"/>
        <v>9.7750950793043341</v>
      </c>
      <c r="C50">
        <f t="shared" si="2"/>
        <v>6.9431861042334102</v>
      </c>
      <c r="D50">
        <f t="shared" si="3"/>
        <v>5.5200538199245619</v>
      </c>
    </row>
    <row r="51" spans="1:4" x14ac:dyDescent="0.3">
      <c r="A51">
        <f t="shared" si="0"/>
        <v>590</v>
      </c>
      <c r="B51">
        <f t="shared" si="1"/>
        <v>9.7783474864436322</v>
      </c>
      <c r="C51">
        <f t="shared" si="2"/>
        <v>6.9941446859585295</v>
      </c>
      <c r="D51">
        <f t="shared" si="3"/>
        <v>5.4791992218243353</v>
      </c>
    </row>
    <row r="52" spans="1:4" x14ac:dyDescent="0.3">
      <c r="A52">
        <f t="shared" si="0"/>
        <v>600</v>
      </c>
      <c r="B52">
        <f t="shared" si="1"/>
        <v>9.782015407960488</v>
      </c>
      <c r="C52">
        <f t="shared" si="2"/>
        <v>7.0457704551275286</v>
      </c>
      <c r="D52">
        <f t="shared" si="3"/>
        <v>5.4405923788550874</v>
      </c>
    </row>
    <row r="53" spans="1:4" x14ac:dyDescent="0.3">
      <c r="A53">
        <f t="shared" si="0"/>
        <v>610</v>
      </c>
      <c r="B53">
        <f t="shared" si="1"/>
        <v>9.7860784087215791</v>
      </c>
      <c r="C53">
        <f t="shared" si="2"/>
        <v>7.0980305992431658</v>
      </c>
      <c r="D53">
        <f t="shared" si="3"/>
        <v>5.4041227456825087</v>
      </c>
    </row>
    <row r="54" spans="1:4" x14ac:dyDescent="0.3">
      <c r="A54">
        <f t="shared" si="0"/>
        <v>620</v>
      </c>
      <c r="B54">
        <f>(27.54/0.75)*((464.67*0.025)/A54+(0.01989/464.67)*A54)+(6.096/0.75)</f>
        <v>9.790517371989278</v>
      </c>
      <c r="C54">
        <f t="shared" si="2"/>
        <v>7.1508944227435087</v>
      </c>
      <c r="D54">
        <f t="shared" si="3"/>
        <v>5.3696869089293404</v>
      </c>
    </row>
    <row r="55" spans="1:4" x14ac:dyDescent="0.3">
      <c r="A55">
        <f t="shared" si="0"/>
        <v>630</v>
      </c>
      <c r="B55">
        <f t="shared" si="1"/>
        <v>9.7953143947870842</v>
      </c>
      <c r="C55">
        <f t="shared" si="2"/>
        <v>7.2043331789911882</v>
      </c>
      <c r="D55">
        <f t="shared" si="3"/>
        <v>5.3371880211470399</v>
      </c>
    </row>
    <row r="56" spans="1:4" x14ac:dyDescent="0.3">
      <c r="A56">
        <f t="shared" si="0"/>
        <v>640</v>
      </c>
      <c r="B56">
        <f t="shared" si="1"/>
        <v>9.8004526930745204</v>
      </c>
      <c r="C56">
        <f t="shared" si="2"/>
        <v>7.258319918013675</v>
      </c>
      <c r="D56">
        <f t="shared" si="3"/>
        <v>5.3065352878525971</v>
      </c>
    </row>
    <row r="57" spans="1:4" x14ac:dyDescent="0.3">
      <c r="A57">
        <f t="shared" si="0"/>
        <v>650</v>
      </c>
      <c r="B57">
        <f t="shared" si="1"/>
        <v>9.8059165156751433</v>
      </c>
      <c r="C57">
        <f t="shared" si="2"/>
        <v>7.3128293482982842</v>
      </c>
      <c r="D57">
        <f t="shared" si="3"/>
        <v>5.2776435019158034</v>
      </c>
    </row>
    <row r="58" spans="1:4" x14ac:dyDescent="0.3">
      <c r="A58">
        <f t="shared" si="0"/>
        <v>660</v>
      </c>
      <c r="B58">
        <f t="shared" si="1"/>
        <v>9.8116910660292636</v>
      </c>
      <c r="C58">
        <f t="shared" si="2"/>
        <v>7.3678377111512825</v>
      </c>
      <c r="D58">
        <f t="shared" si="3"/>
        <v>5.2504326202749478</v>
      </c>
    </row>
    <row r="59" spans="1:4" x14ac:dyDescent="0.3">
      <c r="A59">
        <f t="shared" si="0"/>
        <v>670</v>
      </c>
      <c r="B59">
        <f t="shared" si="1"/>
        <v>9.8177624309538878</v>
      </c>
      <c r="C59">
        <f t="shared" si="2"/>
        <v>7.4233226663084153</v>
      </c>
      <c r="D59">
        <f t="shared" si="3"/>
        <v>5.2248273785585706</v>
      </c>
    </row>
    <row r="60" spans="1:4" x14ac:dyDescent="0.3">
      <c r="A60">
        <f t="shared" si="0"/>
        <v>680</v>
      </c>
      <c r="B60">
        <f t="shared" si="1"/>
        <v>9.8241175156885525</v>
      </c>
      <c r="C60">
        <f t="shared" si="2"/>
        <v>7.479263187638618</v>
      </c>
      <c r="D60">
        <f t="shared" si="3"/>
        <v>5.2007569397111784</v>
      </c>
    </row>
    <row r="61" spans="1:4" x14ac:dyDescent="0.3">
      <c r="A61">
        <f>A60+10</f>
        <v>690</v>
      </c>
      <c r="B61">
        <f t="shared" si="1"/>
        <v>9.8307439845893434</v>
      </c>
      <c r="C61">
        <f t="shared" si="2"/>
        <v>7.5356394679169716</v>
      </c>
      <c r="D61">
        <f t="shared" si="3"/>
        <v>5.178154573173253</v>
      </c>
    </row>
    <row r="62" spans="1:4" x14ac:dyDescent="0.3">
      <c r="A62">
        <f t="shared" si="0"/>
        <v>700</v>
      </c>
      <c r="B62">
        <f t="shared" si="1"/>
        <v>9.8376302069062831</v>
      </c>
      <c r="C62">
        <f t="shared" si="2"/>
        <v>7.5924328317599876</v>
      </c>
      <c r="D62">
        <f t="shared" si="3"/>
        <v>5.1569573615601003</v>
      </c>
    </row>
    <row r="63" spans="1:4" x14ac:dyDescent="0.3">
      <c r="A63">
        <f t="shared" si="0"/>
        <v>710</v>
      </c>
      <c r="B63">
        <f t="shared" si="1"/>
        <v>9.844765207142915</v>
      </c>
      <c r="C63">
        <f t="shared" si="2"/>
        <v>7.6496256559184532</v>
      </c>
      <c r="D63">
        <f t="shared" si="3"/>
        <v>5.1371059321284207</v>
      </c>
    </row>
    <row r="64" spans="1:4" x14ac:dyDescent="0.3">
      <c r="A64">
        <f t="shared" si="0"/>
        <v>720</v>
      </c>
      <c r="B64">
        <f t="shared" si="1"/>
        <v>9.8521386195525853</v>
      </c>
      <c r="C64">
        <f t="shared" si="2"/>
        <v>7.7072012962125571</v>
      </c>
      <c r="D64">
        <f t="shared" si="3"/>
        <v>5.1185442106206533</v>
      </c>
    </row>
    <row r="65" spans="1:4" x14ac:dyDescent="0.3">
      <c r="A65">
        <f t="shared" si="0"/>
        <v>730</v>
      </c>
      <c r="B65">
        <f t="shared" si="1"/>
        <v>9.8597406463747586</v>
      </c>
      <c r="C65">
        <f t="shared" si="2"/>
        <v>7.7651440204723423</v>
      </c>
      <c r="D65">
        <f t="shared" si="3"/>
        <v>5.1012191953412955</v>
      </c>
    </row>
    <row r="66" spans="1:4" x14ac:dyDescent="0.3">
      <c r="A66">
        <f t="shared" si="0"/>
        <v>740</v>
      </c>
      <c r="B66">
        <f t="shared" si="1"/>
        <v>9.8675620194575746</v>
      </c>
      <c r="C66">
        <f t="shared" si="2"/>
        <v>7.8234389469154184</v>
      </c>
      <c r="D66">
        <f t="shared" si="3"/>
        <v>5.0850807495513566</v>
      </c>
    </row>
    <row r="67" spans="1:4" x14ac:dyDescent="0.3">
      <c r="A67">
        <f t="shared" ref="A67:A74" si="4">A66+10</f>
        <v>750</v>
      </c>
      <c r="B67">
        <f t="shared" ref="B67:B72" si="5">(27.54/0.75)*((464.67*0.025)/A67+(0.01989/464.67)*A67)+(6.096/0.75)</f>
        <v>9.8755939649506104</v>
      </c>
      <c r="C67">
        <f t="shared" ref="C67:C74" si="6">(0.9555 / 0.393248) * ( (30.52/0.75) * ((264.76 * 0.025)/(A67 * 0.9555) + (0.01989/264.76)*(A67 * 0.9555)) + (0.508/0.75) )</f>
        <v>7.8820719874544505</v>
      </c>
      <c r="D67">
        <f t="shared" ref="D67:D74" si="7">(0.9555 / 0.512991) * ( (47.7/0.8) * ((794.13 * 0.025)/(A67 * 0.9555) + (0.01989/794.13)*(A67 * 0.9555)) )</f>
        <v>5.0700814104712606</v>
      </c>
    </row>
    <row r="68" spans="1:4" x14ac:dyDescent="0.3">
      <c r="A68">
        <f t="shared" si="4"/>
        <v>760</v>
      </c>
      <c r="B68">
        <f t="shared" si="5"/>
        <v>9.8838281707850388</v>
      </c>
      <c r="C68">
        <f t="shared" si="6"/>
        <v>7.9410297954803895</v>
      </c>
      <c r="D68">
        <f t="shared" si="7"/>
        <v>5.0561762133624599</v>
      </c>
    </row>
    <row r="69" spans="1:4" x14ac:dyDescent="0.3">
      <c r="A69">
        <f t="shared" si="4"/>
        <v>770</v>
      </c>
      <c r="B69">
        <f t="shared" si="5"/>
        <v>9.8922567566878215</v>
      </c>
      <c r="C69">
        <f t="shared" si="6"/>
        <v>8.0002997177145243</v>
      </c>
      <c r="D69">
        <f t="shared" si="7"/>
        <v>5.043322529316983</v>
      </c>
    </row>
    <row r="70" spans="1:4" x14ac:dyDescent="0.3">
      <c r="A70">
        <f t="shared" si="4"/>
        <v>780</v>
      </c>
      <c r="B70">
        <f t="shared" si="5"/>
        <v>9.9008722465024803</v>
      </c>
      <c r="C70">
        <f t="shared" si="6"/>
        <v>8.059869749764232</v>
      </c>
      <c r="D70">
        <f t="shared" si="7"/>
        <v>5.0314799155247023</v>
      </c>
    </row>
    <row r="71" spans="1:4" x14ac:dyDescent="0.3">
      <c r="A71">
        <f t="shared" si="4"/>
        <v>790</v>
      </c>
      <c r="B71">
        <f t="shared" si="5"/>
        <v>9.9096675426121106</v>
      </c>
      <c r="C71">
        <f t="shared" si="6"/>
        <v>8.1197284950542379</v>
      </c>
      <c r="D71">
        <f t="shared" si="7"/>
        <v>5.020609976912711</v>
      </c>
    </row>
    <row r="72" spans="1:4" x14ac:dyDescent="0.3">
      <c r="A72">
        <f t="shared" si="4"/>
        <v>800</v>
      </c>
      <c r="B72">
        <f t="shared" si="5"/>
        <v>9.9186359022806521</v>
      </c>
      <c r="C72">
        <f t="shared" si="6"/>
        <v>8.1798651268380294</v>
      </c>
      <c r="D72">
        <f t="shared" si="7"/>
        <v>5.0106762381617482</v>
      </c>
    </row>
    <row r="73" spans="1:4" x14ac:dyDescent="0.3">
      <c r="A73">
        <f t="shared" si="4"/>
        <v>810</v>
      </c>
      <c r="B73">
        <f>(27.54/0.75)*((464.67*0.025)/A73+(0.01989/464.67)*A73)+(6.096/0.75)</f>
        <v>9.9277709157466596</v>
      </c>
      <c r="C73">
        <f t="shared" si="6"/>
        <v>8.2402693530232476</v>
      </c>
      <c r="D73">
        <f t="shared" si="7"/>
        <v>5.0016440252028875</v>
      </c>
    </row>
    <row r="74" spans="1:4" x14ac:dyDescent="0.3">
      <c r="A74">
        <f t="shared" si="4"/>
        <v>820</v>
      </c>
      <c r="B74">
        <f t="shared" ref="B74" si="8">(27.54/0.75)*((464.67*0.025)/A74+(0.01989/464.67)*A74)+(6.096/0.75)</f>
        <v>9.9370664859199849</v>
      </c>
      <c r="C74">
        <f t="shared" si="6"/>
        <v>8.3009313835708127</v>
      </c>
      <c r="D74">
        <f t="shared" si="7"/>
        <v>4.9934803553851967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RFP_İNPUTS</vt:lpstr>
      <vt:lpstr>02_Unit_Conversions</vt:lpstr>
      <vt:lpstr>03_Atmosphere</vt:lpstr>
      <vt:lpstr>04_Competitor_Data</vt:lpstr>
      <vt:lpstr>05_Assumptions</vt:lpstr>
      <vt:lpstr>06_LD_and_Speeds</vt:lpstr>
      <vt:lpstr>07_Mission_Fractions</vt:lpstr>
      <vt:lpstr>08_Weight_Estimation</vt:lpstr>
      <vt:lpstr>09_Mission_Profiles</vt:lpstr>
      <vt:lpstr>10_Payload_Trade</vt:lpstr>
      <vt:lpstr>11_Geometry_Sizing</vt:lpstr>
      <vt:lpstr>12_Constraint_Analysis</vt:lpstr>
      <vt:lpstr>13_Compliance_Matrix</vt:lpstr>
      <vt:lpstr>14_Optional Takeoff Distance </vt:lpstr>
      <vt:lpstr>15_</vt:lpstr>
      <vt:lpstr>RAW Constrait</vt:lpstr>
      <vt:lpstr>Normalization</vt:lpstr>
      <vt:lpstr>Weight_Norm_Constraint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  İşçi</dc:creator>
  <cp:lastModifiedBy>Giray Cevher Eser</cp:lastModifiedBy>
  <cp:lastPrinted>2026-07-03T14:35:20Z</cp:lastPrinted>
  <dcterms:created xsi:type="dcterms:W3CDTF">2026-06-26T12:33:47Z</dcterms:created>
  <dcterms:modified xsi:type="dcterms:W3CDTF">2026-07-22T16:00:03Z</dcterms:modified>
</cp:coreProperties>
</file>